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Final experiment/"/>
    </mc:Choice>
  </mc:AlternateContent>
  <xr:revisionPtr revIDLastSave="814" documentId="13_ncr:1_{BE48E485-C422-4D3A-8E17-3242A3288142}" xr6:coauthVersionLast="47" xr6:coauthVersionMax="47" xr10:uidLastSave="{1B8F2786-F6FC-4E40-B911-65069D316567}"/>
  <bookViews>
    <workbookView xWindow="-120" yWindow="-120" windowWidth="29040" windowHeight="15720" activeTab="1" xr2:uid="{00000000-000D-0000-FFFF-FFFF00000000}"/>
  </bookViews>
  <sheets>
    <sheet name="Sentiment distribution Baseline" sheetId="5" r:id="rId1"/>
    <sheet name="Performance Baseline" sheetId="6" r:id="rId2"/>
    <sheet name="Sentiment distribution ensemble" sheetId="7" r:id="rId3"/>
    <sheet name="Performance ensemble" sheetId="8" r:id="rId4"/>
    <sheet name="Sentiment distibution optimized" sheetId="9" r:id="rId5"/>
    <sheet name="Performance optimized ensembled" sheetId="10" r:id="rId6"/>
    <sheet name="ablation study performance" sheetId="11" r:id="rId7"/>
    <sheet name="Ablation study sentiment" sheetId="12" r:id="rId8"/>
    <sheet name="Train loss &amp; Validation loss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2" l="1"/>
  <c r="K2" i="12"/>
  <c r="M2" i="12" s="1"/>
  <c r="J5" i="12"/>
  <c r="L5" i="12" s="1"/>
  <c r="J2" i="12"/>
  <c r="L2" i="12" s="1"/>
  <c r="H19" i="12"/>
  <c r="H18" i="12"/>
  <c r="H16" i="12"/>
  <c r="H14" i="12"/>
  <c r="K14" i="12" s="1"/>
  <c r="M14" i="12" s="1"/>
  <c r="H13" i="12"/>
  <c r="H12" i="12"/>
  <c r="K11" i="12" s="1"/>
  <c r="M11" i="12" s="1"/>
  <c r="H10" i="12"/>
  <c r="K8" i="12" s="1"/>
  <c r="M8" i="12" s="1"/>
  <c r="H8" i="12"/>
  <c r="H7" i="12"/>
  <c r="H6" i="12"/>
  <c r="H4" i="12"/>
  <c r="H2" i="12"/>
  <c r="E6" i="12"/>
  <c r="E7" i="12"/>
  <c r="E8" i="12"/>
  <c r="J8" i="12" s="1"/>
  <c r="L8" i="12" s="1"/>
  <c r="E12" i="12"/>
  <c r="E14" i="12"/>
  <c r="J14" i="12" s="1"/>
  <c r="L14" i="12" s="1"/>
  <c r="E16" i="12"/>
  <c r="E18" i="12"/>
  <c r="E19" i="12"/>
  <c r="E4" i="12"/>
  <c r="E2" i="12"/>
  <c r="E3" i="12"/>
  <c r="E5" i="12"/>
  <c r="E9" i="12"/>
  <c r="E10" i="12"/>
  <c r="E11" i="12"/>
  <c r="J11" i="12" s="1"/>
  <c r="L11" i="12" s="1"/>
  <c r="E13" i="12"/>
  <c r="E15" i="12"/>
  <c r="E17" i="12"/>
  <c r="J17" i="12" s="1"/>
  <c r="L17" i="12" s="1"/>
  <c r="H17" i="12"/>
  <c r="K17" i="12" s="1"/>
  <c r="M17" i="12" s="1"/>
  <c r="H15" i="12"/>
  <c r="H11" i="12"/>
  <c r="H9" i="12"/>
  <c r="H5" i="12"/>
  <c r="K5" i="12" s="1"/>
  <c r="M5" i="12" s="1"/>
  <c r="H3" i="12"/>
  <c r="F45" i="11"/>
  <c r="F46" i="11"/>
  <c r="F47" i="11"/>
  <c r="F48" i="11"/>
  <c r="F49" i="11"/>
  <c r="F44" i="11"/>
  <c r="F39" i="11"/>
  <c r="F40" i="11"/>
  <c r="F41" i="11"/>
  <c r="F42" i="11"/>
  <c r="F43" i="11"/>
  <c r="F38" i="11"/>
  <c r="F32" i="11"/>
  <c r="F33" i="11"/>
  <c r="F34" i="11"/>
  <c r="F35" i="11"/>
  <c r="F36" i="11"/>
  <c r="F37" i="11"/>
  <c r="F26" i="11"/>
  <c r="F27" i="11"/>
  <c r="F28" i="11"/>
  <c r="F29" i="11"/>
  <c r="F30" i="11"/>
  <c r="F31" i="11"/>
  <c r="B21" i="11"/>
  <c r="B20" i="11"/>
  <c r="B19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26" i="11"/>
  <c r="B18" i="11"/>
  <c r="E18" i="11"/>
  <c r="C19" i="11"/>
  <c r="D19" i="11"/>
  <c r="E19" i="11"/>
  <c r="C20" i="11"/>
  <c r="D20" i="11"/>
  <c r="E20" i="11"/>
  <c r="C21" i="11"/>
  <c r="D21" i="11"/>
  <c r="E21" i="11"/>
  <c r="B22" i="11"/>
  <c r="C22" i="11"/>
  <c r="D22" i="11"/>
  <c r="E22" i="11"/>
  <c r="B23" i="11"/>
  <c r="C23" i="11"/>
  <c r="D23" i="11"/>
  <c r="E23" i="11"/>
  <c r="D18" i="11"/>
  <c r="C18" i="11"/>
</calcChain>
</file>

<file path=xl/sharedStrings.xml><?xml version="1.0" encoding="utf-8"?>
<sst xmlns="http://schemas.openxmlformats.org/spreadsheetml/2006/main" count="233" uniqueCount="104">
  <si>
    <t>Standardization</t>
  </si>
  <si>
    <t>ensemble voting / model</t>
  </si>
  <si>
    <t>Accuracy</t>
  </si>
  <si>
    <t>Precision-Macro</t>
  </si>
  <si>
    <t>Recall-Macro</t>
  </si>
  <si>
    <t>F1-Macro</t>
  </si>
  <si>
    <t>Seed = 42
Train/test = 80/20
epoch = 5
batch size = 32</t>
  </si>
  <si>
    <t>NLP + CNN</t>
  </si>
  <si>
    <t>BERT + CNN</t>
  </si>
  <si>
    <t>NLP + GRU</t>
  </si>
  <si>
    <t>BERT + GRU</t>
  </si>
  <si>
    <t>NLP + LSTM</t>
  </si>
  <si>
    <t>BERT + LSTM</t>
  </si>
  <si>
    <t>NLP + RNN</t>
  </si>
  <si>
    <t>BERT + RNN</t>
  </si>
  <si>
    <t>Seed = 42
Train/Validate/Calibrate/test = 60/20/10/10
epoch = 5
batch size = 32
grid-search alpha = 0.85</t>
  </si>
  <si>
    <t>Ensemble Voting + Temperature Calibration + Alpha Grid Search 1
NLP + GRU
BERT + CNN
4-way split</t>
  </si>
  <si>
    <t>Seed = 42
Train/Validate/Calibrate/test = 60/20/10/10
epoch = 5
batch size = 32
grid-search alpha= 0.8</t>
  </si>
  <si>
    <t>Ensemble Voting + Temperature Calibration + Alpha Grid Search 2
NLP + GRU
BERT + LSTM
4-way split</t>
  </si>
  <si>
    <t>Seed = 42
Train/Validate/Calibrate/test = 60/20/10/10
epoch = 6
batch size = 32
grid-search alpha = 1.0</t>
  </si>
  <si>
    <t>Seed = 42
Train/Validate/Calibrate/test = 60/20/10/10
epoch = 6
batch size = 32
grid-search alpha= 0.9</t>
  </si>
  <si>
    <t>Seed = 42
Train/Validate/Calibrate/test = 60/20/10/10
epoch = 7
batch size = 32
grid-search alpha = 0.65</t>
  </si>
  <si>
    <t>Seed = 42
Train/Validate/Calibrate/test = 60/20/10/10
epoch = 7
batch size = 32
grid-search alpha= 0.8</t>
  </si>
  <si>
    <t xml:space="preserve">
Train/Validate/Calibrate/test = 60/20/10/10
epoch = 8
batch size = 32
grid-search alpha = 0.85</t>
  </si>
  <si>
    <t>Seed = 42
Train/Validate/Calibrate/test = 60/20/10/10
epoch = 8
batch size = 32
grid-search alpha= 0.7</t>
  </si>
  <si>
    <t xml:space="preserve">
Train/Validate/Calibrate/test = 60/20/10/10
epoch = 9
batch size = 32
grid-search alpha = 0.85</t>
  </si>
  <si>
    <t>Seed = 42
Train/Validate/Calibrate/test = 60/20/10/10
epoch = 9
batch size = 32
grid-search alpha= 1.0</t>
  </si>
  <si>
    <t xml:space="preserve">
Train/Validate/Calibrate/test = 60/20/10/10
epoch = 10
batch size = 32
grid-search alpha = 0.85</t>
  </si>
  <si>
    <t>Seed = 42
Train/Validate/Calibrate/test = 60/20/10/10
epoch = 10
batch size = 32
grid-search alpha= 0.8</t>
  </si>
  <si>
    <t>Sentiment</t>
  </si>
  <si>
    <t>Model_Count</t>
  </si>
  <si>
    <t>Model_Percentage</t>
  </si>
  <si>
    <t>negative</t>
  </si>
  <si>
    <t>neutral</t>
  </si>
  <si>
    <t>positive</t>
  </si>
  <si>
    <t xml:space="preserve">
Train/Validate/Calibrate/test = 60/20/10/10
epoch = 5
batch size = 32
grid-search alpha = 0.85</t>
  </si>
  <si>
    <t>Ensemble Voting + Temperature Calibration + Alpha Grid Search
NLP + GRU
BERT + CNN
4-way split</t>
  </si>
  <si>
    <t xml:space="preserve">
Train/Validate/Calibrate/test = 60/20/10/10
epoch = 5
batch size = 32
grid-search alpha= 0.8</t>
  </si>
  <si>
    <t>Ensemble Voting + Temperature Calibration + Alpha Grid Search
NLP + GRU
BERT + LSTM
4-way split</t>
  </si>
  <si>
    <t xml:space="preserve">
Train/Validate/Calibrate/test = 60/20/10/10
epoch = 6
batch size = 32
grid-search alpha = 1</t>
  </si>
  <si>
    <t xml:space="preserve">
Train/Validate/Calibrate/test = 60/20/10/10
epoch = 6
batch size = 32
grid-search alpha= 0.9</t>
  </si>
  <si>
    <t xml:space="preserve">
Train/Validate/Calibrate/test = 60/20/10/10
epoch = 7
batch size = 32
grid-search alpha = 0.65</t>
  </si>
  <si>
    <t xml:space="preserve">
Train/Validate/Calibrate/test = 60/20/10/10
epoch = 7
batch size = 32
grid-search alpha= 0.8</t>
  </si>
  <si>
    <t xml:space="preserve">
Train/Validate/Calibrate/test = 60/20/10/10
epoch = 8
batch size = 32
grid-search alpha= 0.7</t>
  </si>
  <si>
    <t xml:space="preserve">
Train/Validate/Calibrate/test = 60/20/10/10
epoch = 9
batch size = 32
grid-search alpha = 0.8</t>
  </si>
  <si>
    <t xml:space="preserve">
Train/Validate/Calibrate/test = 60/20/10/10
epoch = 9
batch size = 32
grid-search alpha= 0.8</t>
  </si>
  <si>
    <t xml:space="preserve">
Train/Validate/Calibrate/test = 60/20/10/10
epoch = 10
batch size = 32
grid-search alpha = 0.8</t>
  </si>
  <si>
    <t xml:space="preserve">
Train/Validate/Calibrate/test = 60/20/10/10
epoch = 10
batch size = 32
grid-search alpha= 0.7</t>
  </si>
  <si>
    <t xml:space="preserve">BERT + LSTM  </t>
  </si>
  <si>
    <t>Total_Epochs</t>
  </si>
  <si>
    <t>Epoch</t>
  </si>
  <si>
    <t>Train_Loss</t>
  </si>
  <si>
    <t>Validation_Loss</t>
  </si>
  <si>
    <t>Model</t>
  </si>
  <si>
    <t>Positive</t>
  </si>
  <si>
    <t>Negative</t>
  </si>
  <si>
    <t>Neutral</t>
  </si>
  <si>
    <t>Human</t>
  </si>
  <si>
    <t>Ensemble model 1
NLP + GRU
BERT + CNN
2-way split</t>
  </si>
  <si>
    <t>Ensemble model 2
NLP + GRU
BERT + LSTM
2-way split</t>
  </si>
  <si>
    <t>ensemble model</t>
  </si>
  <si>
    <t>3-way dataset split</t>
  </si>
  <si>
    <t>epoch 10</t>
  </si>
  <si>
    <t>epoch 9</t>
  </si>
  <si>
    <t>Split strategy</t>
  </si>
  <si>
    <t>Ensemble Voting + Temperature Calibration + Alpha Grid Search 1
NLP + GRU
BERT + CNN</t>
  </si>
  <si>
    <t>3-way (60-30-10)</t>
  </si>
  <si>
    <t>4-way (60-20-10-10)</t>
  </si>
  <si>
    <t>Macro Precision</t>
  </si>
  <si>
    <t>Macro Recall</t>
  </si>
  <si>
    <t>Macro F1</t>
  </si>
  <si>
    <t>Ensemble 3 way vs Ensemble 4 way</t>
  </si>
  <si>
    <t>Δ Accuracy %</t>
  </si>
  <si>
    <t>Δ Precision %</t>
  </si>
  <si>
    <t>Δ Recall %</t>
  </si>
  <si>
    <t>Δ F1 %</t>
  </si>
  <si>
    <t>Metric</t>
  </si>
  <si>
    <t>3-way</t>
  </si>
  <si>
    <t>4-way</t>
  </si>
  <si>
    <t>Difference</t>
  </si>
  <si>
    <t>% Improvement</t>
  </si>
  <si>
    <t>Precision</t>
  </si>
  <si>
    <t>Recall</t>
  </si>
  <si>
    <t>F1</t>
  </si>
  <si>
    <t>Model (epoch)</t>
  </si>
  <si>
    <t>Ensemble (5)</t>
  </si>
  <si>
    <t>Ensemble (6)</t>
  </si>
  <si>
    <t>Ensemble (7)</t>
  </si>
  <si>
    <t>Ensemble (8)</t>
  </si>
  <si>
    <t>Ensemble (9)</t>
  </si>
  <si>
    <t>Ensemble (10)</t>
  </si>
  <si>
    <t>Percentage %</t>
  </si>
  <si>
    <t>True_Label</t>
  </si>
  <si>
    <t>Count</t>
  </si>
  <si>
    <t>Percentage (%)</t>
  </si>
  <si>
    <t>error from truth label</t>
  </si>
  <si>
    <t>3-Way Split count</t>
  </si>
  <si>
    <t>4-Way Split count</t>
  </si>
  <si>
    <t>model</t>
  </si>
  <si>
    <t>total error 4 way</t>
  </si>
  <si>
    <t>total error 3 way</t>
  </si>
  <si>
    <t>total</t>
  </si>
  <si>
    <t>percentage error 3 way</t>
  </si>
  <si>
    <t>percentage error 4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</si>
</sst>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10"/>
      <name val="Arial"/>
    </font>
    <font>
      <b/>
      <sz val="11"/>
      <color theme="1"/>
      <name val="Aptos Narrow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ptos Narrow"/>
    </font>
    <font>
      <sz val="11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/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18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0" fillId="0" borderId="7" xfId="0" applyBorder="1"/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10" xfId="0" applyBorder="1"/>
    <xf numFmtId="0" fontId="21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0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19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8" fillId="0" borderId="5" xfId="0" applyFont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4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2</xdr:row>
      <xdr:rowOff>57150</xdr:rowOff>
    </xdr:from>
    <xdr:to>
      <xdr:col>14</xdr:col>
      <xdr:colOff>324710</xdr:colOff>
      <xdr:row>18</xdr:row>
      <xdr:rowOff>143695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1B6A4-958E-45DD-995B-EF6C2FEC0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609600"/>
          <a:ext cx="6163535" cy="5877745"/>
        </a:xfrm>
        <a:prstGeom prst="rect">
          <a:avLst/>
        </a:prstGeom>
      </xdr:spPr>
    </xdr:pic>
    <xdr:clientData/>
  </xdr:twoCellAnchor>
  <xdr:twoCellAnchor editAs="oneCell">
    <xdr:from>
      <xdr:col>14</xdr:col>
      <xdr:colOff>790575</xdr:colOff>
      <xdr:row>1</xdr:row>
      <xdr:rowOff>352425</xdr:rowOff>
    </xdr:from>
    <xdr:to>
      <xdr:col>19</xdr:col>
      <xdr:colOff>553002</xdr:colOff>
      <xdr:row>18</xdr:row>
      <xdr:rowOff>57968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0217A2-273B-4CC5-870C-DE21F109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73400" y="542925"/>
          <a:ext cx="3953427" cy="5858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3</xdr:row>
      <xdr:rowOff>76200</xdr:rowOff>
    </xdr:from>
    <xdr:to>
      <xdr:col>15</xdr:col>
      <xdr:colOff>48485</xdr:colOff>
      <xdr:row>21</xdr:row>
      <xdr:rowOff>67495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1574A-68E5-85F1-75C3-6BC1C2716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4150" y="895350"/>
          <a:ext cx="6163535" cy="587774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23</xdr:row>
      <xdr:rowOff>161925</xdr:rowOff>
    </xdr:from>
    <xdr:to>
      <xdr:col>12</xdr:col>
      <xdr:colOff>362502</xdr:colOff>
      <xdr:row>42</xdr:row>
      <xdr:rowOff>229418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D1D8AB-D83D-B355-B2A7-0C63840D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3675" y="7486650"/>
          <a:ext cx="3953427" cy="585869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457200</xdr:colOff>
      <xdr:row>10</xdr:row>
      <xdr:rowOff>9525</xdr:rowOff>
    </xdr:from>
    <xdr:ext cx="5048250" cy="3152775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200025</xdr:rowOff>
    </xdr:from>
    <xdr:ext cx="4000500" cy="2495550"/>
    <xdr:pic>
      <xdr:nvPicPr>
        <xdr:cNvPr id="3" name="image5.png" title="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771525</xdr:colOff>
      <xdr:row>12</xdr:row>
      <xdr:rowOff>28575</xdr:rowOff>
    </xdr:from>
    <xdr:ext cx="4124325" cy="2609850"/>
    <xdr:pic>
      <xdr:nvPicPr>
        <xdr:cNvPr id="4" name="image4.png" title="Imag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41"/>
  <sheetViews>
    <sheetView workbookViewId="0">
      <selection activeCell="D16" sqref="D16"/>
    </sheetView>
  </sheetViews>
  <sheetFormatPr defaultColWidth="12.5703125" defaultRowHeight="15.75" customHeight="1" x14ac:dyDescent="0.2"/>
  <cols>
    <col min="1" max="1" width="14.7109375" bestFit="1" customWidth="1"/>
    <col min="2" max="2" width="8.28515625" bestFit="1" customWidth="1"/>
    <col min="3" max="3" width="9" bestFit="1" customWidth="1"/>
    <col min="4" max="4" width="8.28515625" bestFit="1" customWidth="1"/>
    <col min="5" max="5" width="17.28515625" customWidth="1"/>
    <col min="8" max="8" width="14.7109375" bestFit="1" customWidth="1"/>
  </cols>
  <sheetData>
    <row r="1" spans="1:11" ht="15" x14ac:dyDescent="0.2">
      <c r="A1" s="14" t="s">
        <v>53</v>
      </c>
      <c r="B1" s="15" t="s">
        <v>54</v>
      </c>
      <c r="C1" s="15" t="s">
        <v>55</v>
      </c>
      <c r="D1" s="15" t="s">
        <v>56</v>
      </c>
      <c r="E1" s="29" t="s">
        <v>0</v>
      </c>
    </row>
    <row r="2" spans="1:11" ht="14.25" x14ac:dyDescent="0.2">
      <c r="A2" s="20" t="s">
        <v>57</v>
      </c>
      <c r="B2" s="19">
        <v>614</v>
      </c>
      <c r="C2" s="19">
        <v>839</v>
      </c>
      <c r="D2" s="19">
        <v>514</v>
      </c>
      <c r="E2" s="31"/>
    </row>
    <row r="3" spans="1:11" ht="15" customHeight="1" x14ac:dyDescent="0.2">
      <c r="A3" s="16" t="s">
        <v>7</v>
      </c>
      <c r="B3" s="16">
        <v>579</v>
      </c>
      <c r="C3" s="16">
        <v>790</v>
      </c>
      <c r="D3" s="16">
        <v>598</v>
      </c>
      <c r="E3" s="57" t="s">
        <v>6</v>
      </c>
      <c r="I3" s="18"/>
      <c r="K3" s="3"/>
    </row>
    <row r="4" spans="1:11" ht="15" x14ac:dyDescent="0.2">
      <c r="A4" s="16" t="s">
        <v>9</v>
      </c>
      <c r="B4" s="16">
        <v>626</v>
      </c>
      <c r="C4" s="16">
        <v>877</v>
      </c>
      <c r="D4" s="16">
        <v>464</v>
      </c>
      <c r="E4" s="57"/>
      <c r="I4" s="18"/>
      <c r="K4" s="3"/>
    </row>
    <row r="5" spans="1:11" ht="15" x14ac:dyDescent="0.2">
      <c r="A5" s="16" t="s">
        <v>11</v>
      </c>
      <c r="B5" s="16">
        <v>756</v>
      </c>
      <c r="C5" s="16">
        <v>660</v>
      </c>
      <c r="D5" s="16">
        <v>551</v>
      </c>
      <c r="E5" s="57"/>
      <c r="I5" s="18"/>
      <c r="K5" s="3"/>
    </row>
    <row r="6" spans="1:11" ht="15" x14ac:dyDescent="0.2">
      <c r="A6" s="26" t="s">
        <v>13</v>
      </c>
      <c r="B6" s="26">
        <v>607</v>
      </c>
      <c r="C6" s="26">
        <v>733</v>
      </c>
      <c r="D6" s="26">
        <v>627</v>
      </c>
      <c r="E6" s="57"/>
      <c r="I6" s="18"/>
      <c r="K6" s="3"/>
    </row>
    <row r="7" spans="1:11" ht="15" x14ac:dyDescent="0.2">
      <c r="A7" s="16" t="s">
        <v>8</v>
      </c>
      <c r="B7" s="16">
        <v>526</v>
      </c>
      <c r="C7" s="16">
        <v>1067</v>
      </c>
      <c r="D7" s="16">
        <v>374</v>
      </c>
      <c r="E7" s="57"/>
      <c r="I7" s="18"/>
      <c r="K7" s="3"/>
    </row>
    <row r="8" spans="1:11" ht="15" x14ac:dyDescent="0.2">
      <c r="A8" s="16" t="s">
        <v>10</v>
      </c>
      <c r="B8" s="16">
        <v>739</v>
      </c>
      <c r="C8" s="16">
        <v>815</v>
      </c>
      <c r="D8" s="16">
        <v>413</v>
      </c>
      <c r="E8" s="57"/>
      <c r="I8" s="18"/>
      <c r="K8" s="3"/>
    </row>
    <row r="9" spans="1:11" ht="15" x14ac:dyDescent="0.2">
      <c r="A9" s="16" t="s">
        <v>12</v>
      </c>
      <c r="B9" s="16">
        <v>414</v>
      </c>
      <c r="C9" s="16">
        <v>1010</v>
      </c>
      <c r="D9" s="16">
        <v>543</v>
      </c>
      <c r="E9" s="57"/>
      <c r="I9" s="18"/>
      <c r="K9" s="3"/>
    </row>
    <row r="10" spans="1:11" ht="15" x14ac:dyDescent="0.2">
      <c r="A10" s="26" t="s">
        <v>14</v>
      </c>
      <c r="B10" s="26">
        <v>435</v>
      </c>
      <c r="C10" s="26">
        <v>831</v>
      </c>
      <c r="D10" s="26">
        <v>701</v>
      </c>
      <c r="E10" s="57"/>
      <c r="I10" s="18"/>
      <c r="J10" s="3"/>
      <c r="K10" s="3"/>
    </row>
    <row r="11" spans="1:11" ht="15" x14ac:dyDescent="0.2">
      <c r="A11" s="17"/>
      <c r="B11" s="17"/>
      <c r="C11" s="18"/>
      <c r="D11" s="3"/>
      <c r="E11" s="3"/>
      <c r="I11" s="18"/>
      <c r="J11" s="3"/>
      <c r="K11" s="3"/>
    </row>
    <row r="12" spans="1:11" ht="15" x14ac:dyDescent="0.2">
      <c r="A12" s="17"/>
      <c r="B12" s="17"/>
      <c r="C12" s="18"/>
      <c r="D12" s="3"/>
      <c r="E12" s="3"/>
      <c r="I12" s="18"/>
      <c r="K12" s="3"/>
    </row>
    <row r="13" spans="1:11" ht="15" x14ac:dyDescent="0.2">
      <c r="A13" s="28"/>
      <c r="B13" s="58"/>
      <c r="C13" s="18"/>
      <c r="D13" s="3"/>
      <c r="E13" s="3"/>
      <c r="I13" s="18"/>
      <c r="J13" s="3"/>
      <c r="K13" s="3"/>
    </row>
    <row r="14" spans="1:11" ht="15" x14ac:dyDescent="0.2">
      <c r="A14" s="17"/>
      <c r="B14" s="59"/>
      <c r="C14" s="18"/>
      <c r="D14" s="3"/>
      <c r="E14" s="3"/>
      <c r="I14" s="18"/>
      <c r="J14" s="3"/>
      <c r="K14" s="3"/>
    </row>
    <row r="15" spans="1:11" ht="15" x14ac:dyDescent="0.2">
      <c r="A15" s="17"/>
      <c r="B15" s="59"/>
      <c r="C15" s="18"/>
      <c r="D15" s="3"/>
      <c r="E15" s="3"/>
      <c r="I15" s="18"/>
      <c r="K15" s="3"/>
    </row>
    <row r="16" spans="1:11" ht="15" x14ac:dyDescent="0.2">
      <c r="A16" s="17"/>
      <c r="B16" s="58"/>
      <c r="C16" s="18"/>
      <c r="D16" s="3"/>
      <c r="E16" s="3"/>
      <c r="I16" s="18"/>
      <c r="J16" s="3"/>
      <c r="K16" s="3"/>
    </row>
    <row r="17" spans="1:11" ht="15" x14ac:dyDescent="0.2">
      <c r="A17" s="17"/>
      <c r="B17" s="59"/>
      <c r="C17" s="18"/>
      <c r="D17" s="3"/>
      <c r="E17" s="3"/>
      <c r="I17" s="13"/>
      <c r="K17" s="12"/>
    </row>
    <row r="18" spans="1:11" ht="15" x14ac:dyDescent="0.2">
      <c r="A18" s="17"/>
      <c r="B18" s="59"/>
      <c r="C18" s="18"/>
      <c r="D18" s="3"/>
      <c r="E18" s="3"/>
      <c r="H18" s="27"/>
      <c r="I18" s="13"/>
      <c r="K18" s="12"/>
    </row>
    <row r="19" spans="1:11" ht="15" x14ac:dyDescent="0.2">
      <c r="A19" s="17"/>
      <c r="B19" s="58"/>
      <c r="C19" s="18"/>
      <c r="D19" s="3"/>
      <c r="E19" s="3"/>
      <c r="H19" s="27"/>
      <c r="I19" s="13"/>
      <c r="K19" s="12"/>
    </row>
    <row r="20" spans="1:11" ht="15" x14ac:dyDescent="0.2">
      <c r="A20" s="17"/>
      <c r="B20" s="59"/>
      <c r="C20" s="18"/>
      <c r="D20" s="3"/>
      <c r="E20" s="3"/>
      <c r="I20" s="18"/>
      <c r="J20" s="3"/>
      <c r="K20" s="3"/>
    </row>
    <row r="21" spans="1:11" ht="15" x14ac:dyDescent="0.2">
      <c r="A21" s="17"/>
      <c r="B21" s="59"/>
      <c r="C21" s="18"/>
      <c r="D21" s="3"/>
      <c r="E21" s="3"/>
      <c r="I21" s="18"/>
      <c r="K21" s="3"/>
    </row>
    <row r="22" spans="1:11" ht="15" x14ac:dyDescent="0.2">
      <c r="A22" s="12"/>
      <c r="B22" s="4"/>
      <c r="D22" s="13"/>
      <c r="F22" s="12"/>
    </row>
    <row r="23" spans="1:11" ht="15" x14ac:dyDescent="0.2">
      <c r="A23" s="12"/>
      <c r="C23" s="27"/>
      <c r="D23" s="13"/>
      <c r="F23" s="12"/>
    </row>
    <row r="24" spans="1:11" ht="15" x14ac:dyDescent="0.2">
      <c r="A24" s="12"/>
      <c r="C24" s="27"/>
      <c r="D24" s="13"/>
      <c r="F24" s="12"/>
    </row>
    <row r="25" spans="1:11" ht="15" x14ac:dyDescent="0.2">
      <c r="A25" s="12"/>
      <c r="B25" s="60"/>
      <c r="C25" s="13"/>
      <c r="D25" s="12"/>
      <c r="E25" s="12"/>
    </row>
    <row r="26" spans="1:11" ht="15" x14ac:dyDescent="0.2">
      <c r="A26" s="12"/>
      <c r="B26" s="61"/>
      <c r="C26" s="13"/>
      <c r="D26" s="12"/>
      <c r="E26" s="12"/>
    </row>
    <row r="27" spans="1:11" ht="15" x14ac:dyDescent="0.2">
      <c r="A27" s="12"/>
      <c r="B27" s="61"/>
      <c r="C27" s="13"/>
      <c r="D27" s="12"/>
      <c r="E27" s="12"/>
    </row>
    <row r="30" spans="1:11" ht="15.75" customHeight="1" x14ac:dyDescent="0.2">
      <c r="G30" s="17"/>
    </row>
    <row r="31" spans="1:11" ht="15.75" customHeight="1" x14ac:dyDescent="0.2">
      <c r="G31" s="17"/>
      <c r="H31" s="17"/>
    </row>
    <row r="32" spans="1:11" ht="15.75" customHeight="1" x14ac:dyDescent="0.2">
      <c r="G32" s="17"/>
      <c r="H32" s="17"/>
    </row>
    <row r="34" spans="8:8" ht="15.75" customHeight="1" x14ac:dyDescent="0.2">
      <c r="H34" s="17"/>
    </row>
    <row r="35" spans="8:8" ht="15.75" customHeight="1" x14ac:dyDescent="0.2">
      <c r="H35" s="17"/>
    </row>
    <row r="37" spans="8:8" ht="15.75" customHeight="1" x14ac:dyDescent="0.2">
      <c r="H37" s="17"/>
    </row>
    <row r="38" spans="8:8" ht="15.75" customHeight="1" x14ac:dyDescent="0.2">
      <c r="H38" s="17"/>
    </row>
    <row r="40" spans="8:8" ht="15.75" customHeight="1" x14ac:dyDescent="0.2">
      <c r="H40" s="17"/>
    </row>
    <row r="41" spans="8:8" ht="15.75" customHeight="1" x14ac:dyDescent="0.2">
      <c r="H41" s="17"/>
    </row>
  </sheetData>
  <mergeCells count="5">
    <mergeCell ref="E3:E10"/>
    <mergeCell ref="B19:B21"/>
    <mergeCell ref="B25:B27"/>
    <mergeCell ref="B13:B15"/>
    <mergeCell ref="B16:B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9"/>
  <sheetViews>
    <sheetView tabSelected="1" workbookViewId="0">
      <selection activeCell="D16" sqref="D16"/>
    </sheetView>
  </sheetViews>
  <sheetFormatPr defaultColWidth="12.5703125" defaultRowHeight="15.75" customHeight="1" x14ac:dyDescent="0.2"/>
  <cols>
    <col min="1" max="1" width="56.7109375" bestFit="1" customWidth="1"/>
    <col min="2" max="2" width="26.28515625" bestFit="1" customWidth="1"/>
    <col min="3" max="3" width="13.7109375" bestFit="1" customWidth="1"/>
    <col min="4" max="4" width="17.85546875" bestFit="1" customWidth="1"/>
    <col min="5" max="5" width="14.42578125" bestFit="1" customWidth="1"/>
    <col min="6" max="6" width="13.7109375" bestFit="1" customWidth="1"/>
  </cols>
  <sheetData>
    <row r="1" spans="1:6" ht="15" x14ac:dyDescent="0.2">
      <c r="A1" s="29" t="s">
        <v>0</v>
      </c>
      <c r="B1" s="29" t="s">
        <v>60</v>
      </c>
      <c r="C1" s="29" t="s">
        <v>2</v>
      </c>
      <c r="D1" s="29" t="s">
        <v>3</v>
      </c>
      <c r="E1" s="29" t="s">
        <v>4</v>
      </c>
      <c r="F1" s="29" t="s">
        <v>5</v>
      </c>
    </row>
    <row r="2" spans="1:6" ht="14.25" x14ac:dyDescent="0.2">
      <c r="A2" s="62" t="s">
        <v>6</v>
      </c>
      <c r="B2" s="30" t="s">
        <v>7</v>
      </c>
      <c r="C2" s="30">
        <v>0.54855109300000005</v>
      </c>
      <c r="D2" s="30">
        <v>0.542476925</v>
      </c>
      <c r="E2" s="30">
        <v>0.54419945999999997</v>
      </c>
      <c r="F2" s="30">
        <v>0.54207886400000005</v>
      </c>
    </row>
    <row r="3" spans="1:6" ht="14.25" x14ac:dyDescent="0.2">
      <c r="A3" s="62"/>
      <c r="B3" s="30" t="s">
        <v>9</v>
      </c>
      <c r="C3" s="30">
        <v>0.579562786</v>
      </c>
      <c r="D3" s="30">
        <v>0.57168687600000001</v>
      </c>
      <c r="E3" s="30">
        <v>0.56742132300000003</v>
      </c>
      <c r="F3" s="30">
        <v>0.56899502400000002</v>
      </c>
    </row>
    <row r="4" spans="1:6" ht="14.25" x14ac:dyDescent="0.2">
      <c r="A4" s="62"/>
      <c r="B4" s="30" t="s">
        <v>11</v>
      </c>
      <c r="C4" s="30">
        <v>0.55058464699999998</v>
      </c>
      <c r="D4" s="30">
        <v>0.54896919499999997</v>
      </c>
      <c r="E4" s="30">
        <v>0.55527767100000003</v>
      </c>
      <c r="F4" s="30">
        <v>0.54714363799999999</v>
      </c>
    </row>
    <row r="5" spans="1:6" ht="14.25" x14ac:dyDescent="0.2">
      <c r="A5" s="62"/>
      <c r="B5" s="30" t="s">
        <v>13</v>
      </c>
      <c r="C5" s="30">
        <v>0.49262836799999998</v>
      </c>
      <c r="D5" s="30">
        <v>0.48874950499999997</v>
      </c>
      <c r="E5" s="30">
        <v>0.49311442500000002</v>
      </c>
      <c r="F5" s="30">
        <v>0.48864690199999999</v>
      </c>
    </row>
    <row r="6" spans="1:6" ht="15" x14ac:dyDescent="0.2">
      <c r="A6" s="62" t="s">
        <v>6</v>
      </c>
      <c r="B6" s="30" t="s">
        <v>8</v>
      </c>
      <c r="C6" s="29">
        <v>0.594814438</v>
      </c>
      <c r="D6" s="30">
        <v>0.59265088600000004</v>
      </c>
      <c r="E6" s="30">
        <v>0.56552082599999998</v>
      </c>
      <c r="F6" s="30">
        <v>0.57084435200000005</v>
      </c>
    </row>
    <row r="7" spans="1:6" ht="14.25" x14ac:dyDescent="0.2">
      <c r="A7" s="62"/>
      <c r="B7" s="30" t="s">
        <v>10</v>
      </c>
      <c r="C7" s="30">
        <v>0.54397559699999998</v>
      </c>
      <c r="D7" s="30">
        <v>0.55203838299999997</v>
      </c>
      <c r="E7" s="30">
        <v>0.52169728999999998</v>
      </c>
      <c r="F7" s="30">
        <v>0.52763744199999996</v>
      </c>
    </row>
    <row r="8" spans="1:6" ht="14.25" x14ac:dyDescent="0.2">
      <c r="A8" s="62"/>
      <c r="B8" s="30" t="s">
        <v>12</v>
      </c>
      <c r="C8" s="30">
        <v>0.56532791100000002</v>
      </c>
      <c r="D8" s="30">
        <v>0.55542029000000004</v>
      </c>
      <c r="E8" s="30">
        <v>0.55230908000000001</v>
      </c>
      <c r="F8" s="30">
        <v>0.550323216</v>
      </c>
    </row>
    <row r="9" spans="1:6" ht="14.25" x14ac:dyDescent="0.2">
      <c r="A9" s="62"/>
      <c r="B9" s="30" t="s">
        <v>14</v>
      </c>
      <c r="C9" s="30">
        <v>0.52465683799999996</v>
      </c>
      <c r="D9" s="30">
        <v>0.52958743600000002</v>
      </c>
      <c r="E9" s="30">
        <v>0.51881212200000004</v>
      </c>
      <c r="F9" s="30">
        <v>0.51549119700000001</v>
      </c>
    </row>
  </sheetData>
  <mergeCells count="2">
    <mergeCell ref="A2:A5"/>
    <mergeCell ref="A6:A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1"/>
  <sheetViews>
    <sheetView workbookViewId="0">
      <selection sqref="A1:D2"/>
    </sheetView>
  </sheetViews>
  <sheetFormatPr defaultColWidth="12.5703125" defaultRowHeight="15.75" customHeight="1" x14ac:dyDescent="0.2"/>
  <cols>
    <col min="1" max="1" width="18.7109375" bestFit="1" customWidth="1"/>
    <col min="2" max="2" width="8.28515625" bestFit="1" customWidth="1"/>
    <col min="3" max="3" width="9" bestFit="1" customWidth="1"/>
    <col min="4" max="4" width="7.7109375" bestFit="1" customWidth="1"/>
    <col min="5" max="5" width="17.28515625" customWidth="1"/>
  </cols>
  <sheetData>
    <row r="1" spans="1:8" ht="15" x14ac:dyDescent="0.2">
      <c r="A1" s="14" t="s">
        <v>53</v>
      </c>
      <c r="B1" s="15" t="s">
        <v>54</v>
      </c>
      <c r="C1" s="15" t="s">
        <v>55</v>
      </c>
      <c r="D1" s="15" t="s">
        <v>56</v>
      </c>
      <c r="E1" s="2"/>
    </row>
    <row r="2" spans="1:8" ht="14.25" x14ac:dyDescent="0.2">
      <c r="A2" s="20" t="s">
        <v>57</v>
      </c>
      <c r="B2" s="19">
        <v>614</v>
      </c>
      <c r="C2" s="19">
        <v>839</v>
      </c>
      <c r="D2" s="19">
        <v>514</v>
      </c>
      <c r="E2" s="23"/>
    </row>
    <row r="3" spans="1:8" ht="57" x14ac:dyDescent="0.2">
      <c r="A3" s="25" t="s">
        <v>58</v>
      </c>
      <c r="B3" s="24">
        <v>454</v>
      </c>
      <c r="C3" s="24">
        <v>900</v>
      </c>
      <c r="D3" s="24">
        <v>614</v>
      </c>
      <c r="E3" s="23"/>
    </row>
    <row r="4" spans="1:8" ht="57" x14ac:dyDescent="0.2">
      <c r="A4" s="25" t="s">
        <v>59</v>
      </c>
      <c r="B4" s="24">
        <v>463</v>
      </c>
      <c r="C4" s="24">
        <v>853</v>
      </c>
      <c r="D4" s="24">
        <v>652</v>
      </c>
      <c r="E4" s="23"/>
    </row>
    <row r="5" spans="1:8" ht="36" customHeight="1" x14ac:dyDescent="0.2">
      <c r="A5" s="3"/>
      <c r="B5" s="3"/>
      <c r="C5" s="3"/>
      <c r="D5" s="3"/>
      <c r="E5" s="23"/>
    </row>
    <row r="6" spans="1:8" ht="36" customHeight="1" x14ac:dyDescent="0.2">
      <c r="A6" s="3"/>
      <c r="B6" s="3"/>
      <c r="C6" s="3"/>
      <c r="D6" s="3"/>
      <c r="E6" s="23"/>
    </row>
    <row r="7" spans="1:8" ht="36" customHeight="1" x14ac:dyDescent="0.2">
      <c r="A7" s="3"/>
      <c r="B7" s="3"/>
      <c r="C7" s="3"/>
      <c r="D7" s="3"/>
      <c r="E7" s="23"/>
    </row>
    <row r="8" spans="1:8" ht="15.75" customHeight="1" x14ac:dyDescent="0.2">
      <c r="A8" s="3"/>
      <c r="B8" s="3"/>
      <c r="C8" s="3"/>
      <c r="D8" s="3"/>
    </row>
    <row r="12" spans="1:8" ht="15.75" customHeight="1" x14ac:dyDescent="0.2">
      <c r="H12" s="22"/>
    </row>
    <row r="14" spans="1:8" ht="15.75" customHeight="1" x14ac:dyDescent="0.2">
      <c r="H14" s="21"/>
    </row>
    <row r="15" spans="1:8" ht="15.75" customHeight="1" x14ac:dyDescent="0.2">
      <c r="H15" s="22"/>
    </row>
    <row r="19" spans="1:1" ht="15.75" customHeight="1" x14ac:dyDescent="0.2">
      <c r="A19" s="63"/>
    </row>
    <row r="20" spans="1:1" ht="15.75" customHeight="1" x14ac:dyDescent="0.2">
      <c r="A20" s="64"/>
    </row>
    <row r="21" spans="1:1" ht="15.75" customHeight="1" x14ac:dyDescent="0.2">
      <c r="A21" s="65"/>
    </row>
  </sheetData>
  <mergeCells count="1">
    <mergeCell ref="A19:A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9"/>
  <sheetViews>
    <sheetView topLeftCell="A8" workbookViewId="0">
      <selection activeCell="I5" sqref="I5"/>
    </sheetView>
  </sheetViews>
  <sheetFormatPr defaultColWidth="12.5703125" defaultRowHeight="15.75" customHeight="1" x14ac:dyDescent="0.2"/>
  <cols>
    <col min="1" max="1" width="17.5703125" bestFit="1" customWidth="1"/>
    <col min="2" max="2" width="26.28515625" bestFit="1" customWidth="1"/>
    <col min="3" max="3" width="13.7109375" bestFit="1" customWidth="1"/>
    <col min="4" max="4" width="17.85546875" bestFit="1" customWidth="1"/>
    <col min="5" max="5" width="14.42578125" bestFit="1" customWidth="1"/>
    <col min="6" max="6" width="13.7109375" bestFit="1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25" customHeight="1" x14ac:dyDescent="0.2">
      <c r="A2" s="69" t="s">
        <v>6</v>
      </c>
      <c r="B2" s="69" t="s">
        <v>58</v>
      </c>
      <c r="C2" s="66">
        <v>0.60264227599999998</v>
      </c>
      <c r="D2" s="66">
        <v>0.60292808799999997</v>
      </c>
      <c r="E2" s="66">
        <v>0.59398558999999995</v>
      </c>
      <c r="F2" s="66">
        <v>0.59241795200000003</v>
      </c>
    </row>
    <row r="3" spans="1:6" ht="26.25" customHeight="1" x14ac:dyDescent="0.2">
      <c r="A3" s="64"/>
      <c r="B3" s="64"/>
      <c r="C3" s="67"/>
      <c r="D3" s="67"/>
      <c r="E3" s="67"/>
      <c r="F3" s="67"/>
    </row>
    <row r="4" spans="1:6" ht="26.25" customHeight="1" x14ac:dyDescent="0.2">
      <c r="A4" s="64"/>
      <c r="B4" s="64"/>
      <c r="C4" s="67"/>
      <c r="D4" s="67"/>
      <c r="E4" s="67"/>
      <c r="F4" s="67"/>
    </row>
    <row r="5" spans="1:6" ht="26.25" customHeight="1" x14ac:dyDescent="0.2">
      <c r="A5" s="65"/>
      <c r="B5" s="65"/>
      <c r="C5" s="68"/>
      <c r="D5" s="68"/>
      <c r="E5" s="68"/>
      <c r="F5" s="68"/>
    </row>
    <row r="6" spans="1:6" ht="25.5" customHeight="1" x14ac:dyDescent="0.2">
      <c r="A6" s="69" t="s">
        <v>6</v>
      </c>
      <c r="B6" s="69" t="s">
        <v>59</v>
      </c>
      <c r="C6" s="70">
        <v>0.56961382100000002</v>
      </c>
      <c r="D6" s="70">
        <v>0.56963672499999995</v>
      </c>
      <c r="E6" s="70">
        <v>0.56427965899999999</v>
      </c>
      <c r="F6" s="70">
        <v>0.56088199299999997</v>
      </c>
    </row>
    <row r="7" spans="1:6" ht="25.5" customHeight="1" x14ac:dyDescent="0.2">
      <c r="A7" s="64"/>
      <c r="B7" s="64"/>
      <c r="C7" s="64"/>
      <c r="D7" s="64"/>
      <c r="E7" s="64"/>
      <c r="F7" s="64"/>
    </row>
    <row r="8" spans="1:6" ht="25.5" customHeight="1" x14ac:dyDescent="0.2">
      <c r="A8" s="64"/>
      <c r="B8" s="64"/>
      <c r="C8" s="64"/>
      <c r="D8" s="64"/>
      <c r="E8" s="64"/>
      <c r="F8" s="64"/>
    </row>
    <row r="9" spans="1:6" ht="25.5" customHeight="1" x14ac:dyDescent="0.2">
      <c r="A9" s="65"/>
      <c r="B9" s="65"/>
      <c r="C9" s="65"/>
      <c r="D9" s="65"/>
      <c r="E9" s="65"/>
      <c r="F9" s="65"/>
    </row>
  </sheetData>
  <mergeCells count="12">
    <mergeCell ref="F2:F5"/>
    <mergeCell ref="A6:A9"/>
    <mergeCell ref="F6:F9"/>
    <mergeCell ref="B6:B9"/>
    <mergeCell ref="C6:C9"/>
    <mergeCell ref="D6:D9"/>
    <mergeCell ref="E6:E9"/>
    <mergeCell ref="A2:A5"/>
    <mergeCell ref="B2:B5"/>
    <mergeCell ref="C2:C5"/>
    <mergeCell ref="D2:D5"/>
    <mergeCell ref="E2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37"/>
  <sheetViews>
    <sheetView topLeftCell="A21" workbookViewId="0">
      <selection activeCell="C2" sqref="C2:E19"/>
    </sheetView>
  </sheetViews>
  <sheetFormatPr defaultColWidth="12.5703125" defaultRowHeight="15.75" customHeight="1" x14ac:dyDescent="0.2"/>
  <cols>
    <col min="1" max="1" width="36.7109375" customWidth="1"/>
    <col min="2" max="2" width="32.42578125" customWidth="1"/>
    <col min="5" max="5" width="17.28515625" customWidth="1"/>
  </cols>
  <sheetData>
    <row r="1" spans="1:8" ht="15" x14ac:dyDescent="0.2">
      <c r="A1" s="1" t="s">
        <v>0</v>
      </c>
      <c r="B1" s="1" t="s">
        <v>1</v>
      </c>
      <c r="C1" s="5" t="s">
        <v>29</v>
      </c>
      <c r="D1" s="5" t="s">
        <v>30</v>
      </c>
      <c r="E1" s="5" t="s">
        <v>31</v>
      </c>
    </row>
    <row r="2" spans="1:8" ht="28.5" customHeight="1" x14ac:dyDescent="0.2">
      <c r="A2" s="63" t="s">
        <v>35</v>
      </c>
      <c r="B2" s="63" t="s">
        <v>36</v>
      </c>
      <c r="C2" s="6" t="s">
        <v>32</v>
      </c>
      <c r="D2" s="6">
        <v>423</v>
      </c>
      <c r="E2" s="6">
        <v>42.99</v>
      </c>
      <c r="H2">
        <v>10</v>
      </c>
    </row>
    <row r="3" spans="1:8" ht="28.5" customHeight="1" x14ac:dyDescent="0.2">
      <c r="A3" s="64"/>
      <c r="B3" s="64"/>
      <c r="C3" s="6" t="s">
        <v>33</v>
      </c>
      <c r="D3" s="6">
        <v>249</v>
      </c>
      <c r="E3" s="6">
        <v>25.3</v>
      </c>
    </row>
    <row r="4" spans="1:8" ht="28.5" customHeight="1" x14ac:dyDescent="0.2">
      <c r="A4" s="65"/>
      <c r="B4" s="64"/>
      <c r="C4" s="6" t="s">
        <v>34</v>
      </c>
      <c r="D4" s="6">
        <v>312</v>
      </c>
      <c r="E4" s="6">
        <v>31.71</v>
      </c>
    </row>
    <row r="5" spans="1:8" ht="28.5" customHeight="1" x14ac:dyDescent="0.2">
      <c r="A5" s="63" t="s">
        <v>39</v>
      </c>
      <c r="B5" s="64"/>
      <c r="C5" s="6" t="s">
        <v>32</v>
      </c>
      <c r="D5" s="6">
        <v>425</v>
      </c>
      <c r="E5" s="6">
        <v>43.19</v>
      </c>
    </row>
    <row r="6" spans="1:8" ht="28.5" customHeight="1" x14ac:dyDescent="0.2">
      <c r="A6" s="64"/>
      <c r="B6" s="64"/>
      <c r="C6" s="6" t="s">
        <v>33</v>
      </c>
      <c r="D6" s="6">
        <v>269</v>
      </c>
      <c r="E6" s="6">
        <v>27.34</v>
      </c>
    </row>
    <row r="7" spans="1:8" ht="28.5" customHeight="1" x14ac:dyDescent="0.2">
      <c r="A7" s="65"/>
      <c r="B7" s="64"/>
      <c r="C7" s="6" t="s">
        <v>34</v>
      </c>
      <c r="D7" s="6">
        <v>290</v>
      </c>
      <c r="E7" s="6">
        <v>29.47</v>
      </c>
    </row>
    <row r="8" spans="1:8" ht="28.5" customHeight="1" x14ac:dyDescent="0.2">
      <c r="A8" s="63" t="s">
        <v>41</v>
      </c>
      <c r="B8" s="64"/>
      <c r="C8" s="6" t="s">
        <v>32</v>
      </c>
      <c r="D8" s="6">
        <v>432</v>
      </c>
      <c r="E8" s="6">
        <v>43.9</v>
      </c>
    </row>
    <row r="9" spans="1:8" ht="28.5" customHeight="1" x14ac:dyDescent="0.2">
      <c r="A9" s="64"/>
      <c r="B9" s="64"/>
      <c r="C9" s="6" t="s">
        <v>33</v>
      </c>
      <c r="D9" s="6">
        <v>241</v>
      </c>
      <c r="E9" s="6">
        <v>24.49</v>
      </c>
    </row>
    <row r="10" spans="1:8" ht="28.5" customHeight="1" x14ac:dyDescent="0.2">
      <c r="A10" s="65"/>
      <c r="B10" s="64"/>
      <c r="C10" s="6" t="s">
        <v>34</v>
      </c>
      <c r="D10" s="6">
        <v>311</v>
      </c>
      <c r="E10" s="6">
        <v>31.61</v>
      </c>
    </row>
    <row r="11" spans="1:8" ht="28.5" customHeight="1" x14ac:dyDescent="0.2">
      <c r="A11" s="63" t="s">
        <v>23</v>
      </c>
      <c r="B11" s="64"/>
      <c r="C11" s="6" t="s">
        <v>32</v>
      </c>
      <c r="D11" s="6">
        <v>423</v>
      </c>
      <c r="E11" s="6">
        <v>42.99</v>
      </c>
    </row>
    <row r="12" spans="1:8" ht="28.5" customHeight="1" x14ac:dyDescent="0.2">
      <c r="A12" s="64"/>
      <c r="B12" s="64"/>
      <c r="C12" s="6" t="s">
        <v>33</v>
      </c>
      <c r="D12" s="6">
        <v>271</v>
      </c>
      <c r="E12" s="6">
        <v>27.54</v>
      </c>
    </row>
    <row r="13" spans="1:8" ht="28.5" customHeight="1" x14ac:dyDescent="0.2">
      <c r="A13" s="65"/>
      <c r="B13" s="64"/>
      <c r="C13" s="6" t="s">
        <v>34</v>
      </c>
      <c r="D13" s="6">
        <v>290</v>
      </c>
      <c r="E13" s="6">
        <v>29.47</v>
      </c>
    </row>
    <row r="14" spans="1:8" ht="28.5" customHeight="1" x14ac:dyDescent="0.2">
      <c r="A14" s="63" t="s">
        <v>44</v>
      </c>
      <c r="B14" s="64"/>
      <c r="C14" s="6" t="s">
        <v>32</v>
      </c>
      <c r="D14" s="6">
        <v>422</v>
      </c>
      <c r="E14" s="6">
        <v>42.89</v>
      </c>
    </row>
    <row r="15" spans="1:8" ht="28.5" customHeight="1" x14ac:dyDescent="0.2">
      <c r="A15" s="64"/>
      <c r="B15" s="64"/>
      <c r="C15" s="6" t="s">
        <v>33</v>
      </c>
      <c r="D15" s="6">
        <v>226</v>
      </c>
      <c r="E15" s="6">
        <v>22.97</v>
      </c>
    </row>
    <row r="16" spans="1:8" ht="28.5" customHeight="1" x14ac:dyDescent="0.2">
      <c r="A16" s="65"/>
      <c r="B16" s="64"/>
      <c r="C16" s="6" t="s">
        <v>34</v>
      </c>
      <c r="D16" s="6">
        <v>336</v>
      </c>
      <c r="E16" s="6">
        <v>34.15</v>
      </c>
    </row>
    <row r="17" spans="1:8" ht="28.5" customHeight="1" x14ac:dyDescent="0.2">
      <c r="A17" s="63" t="s">
        <v>46</v>
      </c>
      <c r="B17" s="64"/>
      <c r="C17" s="6" t="s">
        <v>32</v>
      </c>
      <c r="D17" s="6">
        <v>436</v>
      </c>
      <c r="E17" s="6">
        <v>44.31</v>
      </c>
    </row>
    <row r="18" spans="1:8" ht="28.5" customHeight="1" x14ac:dyDescent="0.2">
      <c r="A18" s="64"/>
      <c r="B18" s="64"/>
      <c r="C18" s="6" t="s">
        <v>33</v>
      </c>
      <c r="D18" s="6">
        <v>272</v>
      </c>
      <c r="E18" s="6">
        <v>27.64</v>
      </c>
    </row>
    <row r="19" spans="1:8" ht="28.5" customHeight="1" x14ac:dyDescent="0.2">
      <c r="A19" s="65"/>
      <c r="B19" s="65"/>
      <c r="C19" s="6" t="s">
        <v>34</v>
      </c>
      <c r="D19" s="6">
        <v>276</v>
      </c>
      <c r="E19" s="6">
        <v>28.05</v>
      </c>
    </row>
    <row r="20" spans="1:8" ht="24" customHeight="1" x14ac:dyDescent="0.2">
      <c r="A20" s="63" t="s">
        <v>37</v>
      </c>
      <c r="B20" s="63" t="s">
        <v>38</v>
      </c>
      <c r="C20" s="6" t="s">
        <v>32</v>
      </c>
      <c r="D20" s="6">
        <v>438</v>
      </c>
      <c r="E20" s="6">
        <v>44.51</v>
      </c>
      <c r="H20">
        <v>9</v>
      </c>
    </row>
    <row r="21" spans="1:8" ht="24" customHeight="1" x14ac:dyDescent="0.2">
      <c r="A21" s="64"/>
      <c r="B21" s="64"/>
      <c r="C21" s="6" t="s">
        <v>33</v>
      </c>
      <c r="D21" s="6">
        <v>226</v>
      </c>
      <c r="E21" s="6">
        <v>22.97</v>
      </c>
    </row>
    <row r="22" spans="1:8" ht="24" customHeight="1" x14ac:dyDescent="0.2">
      <c r="A22" s="65"/>
      <c r="B22" s="64"/>
      <c r="C22" s="6" t="s">
        <v>34</v>
      </c>
      <c r="D22" s="6">
        <v>320</v>
      </c>
      <c r="E22" s="6">
        <v>32.520000000000003</v>
      </c>
    </row>
    <row r="23" spans="1:8" ht="24" customHeight="1" x14ac:dyDescent="0.2">
      <c r="A23" s="63" t="s">
        <v>40</v>
      </c>
      <c r="B23" s="64"/>
      <c r="C23" s="6" t="s">
        <v>32</v>
      </c>
      <c r="D23" s="6">
        <v>409</v>
      </c>
      <c r="E23" s="6">
        <v>41.57</v>
      </c>
    </row>
    <row r="24" spans="1:8" ht="24" customHeight="1" x14ac:dyDescent="0.2">
      <c r="A24" s="64"/>
      <c r="B24" s="64"/>
      <c r="C24" s="6" t="s">
        <v>33</v>
      </c>
      <c r="D24" s="6">
        <v>238</v>
      </c>
      <c r="E24" s="6">
        <v>24.19</v>
      </c>
    </row>
    <row r="25" spans="1:8" ht="24" customHeight="1" x14ac:dyDescent="0.2">
      <c r="A25" s="65"/>
      <c r="B25" s="64"/>
      <c r="C25" s="6" t="s">
        <v>34</v>
      </c>
      <c r="D25" s="6">
        <v>337</v>
      </c>
      <c r="E25" s="6">
        <v>34.25</v>
      </c>
    </row>
    <row r="26" spans="1:8" ht="24" customHeight="1" x14ac:dyDescent="0.2">
      <c r="A26" s="63" t="s">
        <v>42</v>
      </c>
      <c r="B26" s="64"/>
      <c r="C26" s="6" t="s">
        <v>32</v>
      </c>
      <c r="D26" s="6">
        <v>451</v>
      </c>
      <c r="E26" s="6">
        <v>45.83</v>
      </c>
    </row>
    <row r="27" spans="1:8" ht="24" customHeight="1" x14ac:dyDescent="0.2">
      <c r="A27" s="64"/>
      <c r="B27" s="64"/>
      <c r="C27" s="6" t="s">
        <v>33</v>
      </c>
      <c r="D27" s="6">
        <v>260</v>
      </c>
      <c r="E27" s="6">
        <v>26.42</v>
      </c>
    </row>
    <row r="28" spans="1:8" ht="24" customHeight="1" x14ac:dyDescent="0.2">
      <c r="A28" s="65"/>
      <c r="B28" s="64"/>
      <c r="C28" s="6" t="s">
        <v>34</v>
      </c>
      <c r="D28" s="6">
        <v>273</v>
      </c>
      <c r="E28" s="6">
        <v>27.74</v>
      </c>
    </row>
    <row r="29" spans="1:8" ht="24" customHeight="1" x14ac:dyDescent="0.2">
      <c r="A29" s="63" t="s">
        <v>43</v>
      </c>
      <c r="B29" s="64"/>
      <c r="C29" s="6" t="s">
        <v>32</v>
      </c>
      <c r="D29" s="6">
        <v>403</v>
      </c>
      <c r="E29" s="6">
        <v>40.96</v>
      </c>
    </row>
    <row r="30" spans="1:8" ht="24" customHeight="1" x14ac:dyDescent="0.2">
      <c r="A30" s="64"/>
      <c r="B30" s="64"/>
      <c r="C30" s="6" t="s">
        <v>33</v>
      </c>
      <c r="D30" s="6">
        <v>273</v>
      </c>
      <c r="E30" s="6">
        <v>27.74</v>
      </c>
    </row>
    <row r="31" spans="1:8" ht="24" customHeight="1" x14ac:dyDescent="0.2">
      <c r="A31" s="65"/>
      <c r="B31" s="64"/>
      <c r="C31" s="6" t="s">
        <v>34</v>
      </c>
      <c r="D31" s="6">
        <v>273</v>
      </c>
      <c r="E31" s="6">
        <v>31.3</v>
      </c>
    </row>
    <row r="32" spans="1:8" ht="24" customHeight="1" x14ac:dyDescent="0.2">
      <c r="A32" s="63" t="s">
        <v>45</v>
      </c>
      <c r="B32" s="64"/>
      <c r="C32" s="6" t="s">
        <v>32</v>
      </c>
      <c r="D32" s="6">
        <v>455</v>
      </c>
      <c r="E32" s="6">
        <v>46.24</v>
      </c>
    </row>
    <row r="33" spans="1:5" ht="24" customHeight="1" x14ac:dyDescent="0.2">
      <c r="A33" s="64"/>
      <c r="B33" s="64"/>
      <c r="C33" s="6" t="s">
        <v>33</v>
      </c>
      <c r="D33" s="6">
        <v>237</v>
      </c>
      <c r="E33" s="6">
        <v>24.09</v>
      </c>
    </row>
    <row r="34" spans="1:5" ht="24" customHeight="1" x14ac:dyDescent="0.2">
      <c r="A34" s="65"/>
      <c r="B34" s="64"/>
      <c r="C34" s="6" t="s">
        <v>34</v>
      </c>
      <c r="D34" s="6">
        <v>292</v>
      </c>
      <c r="E34" s="6">
        <v>29.67</v>
      </c>
    </row>
    <row r="35" spans="1:5" ht="24" customHeight="1" x14ac:dyDescent="0.2">
      <c r="A35" s="63" t="s">
        <v>47</v>
      </c>
      <c r="B35" s="64"/>
      <c r="C35" s="6" t="s">
        <v>32</v>
      </c>
      <c r="D35" s="6">
        <v>453</v>
      </c>
      <c r="E35" s="6">
        <v>46.04</v>
      </c>
    </row>
    <row r="36" spans="1:5" ht="24" customHeight="1" x14ac:dyDescent="0.2">
      <c r="A36" s="64"/>
      <c r="B36" s="64"/>
      <c r="C36" s="6" t="s">
        <v>33</v>
      </c>
      <c r="D36" s="6">
        <v>230</v>
      </c>
      <c r="E36" s="6">
        <v>23.37</v>
      </c>
    </row>
    <row r="37" spans="1:5" ht="24" customHeight="1" x14ac:dyDescent="0.2">
      <c r="A37" s="65"/>
      <c r="B37" s="65"/>
      <c r="C37" s="6" t="s">
        <v>34</v>
      </c>
      <c r="D37" s="6">
        <v>301</v>
      </c>
      <c r="E37" s="6">
        <v>30.59</v>
      </c>
    </row>
  </sheetData>
  <mergeCells count="14">
    <mergeCell ref="A29:A31"/>
    <mergeCell ref="A32:A34"/>
    <mergeCell ref="A35:A37"/>
    <mergeCell ref="A20:A22"/>
    <mergeCell ref="B2:B19"/>
    <mergeCell ref="B20:B37"/>
    <mergeCell ref="A2:A4"/>
    <mergeCell ref="A5:A7"/>
    <mergeCell ref="A8:A10"/>
    <mergeCell ref="A23:A25"/>
    <mergeCell ref="A26:A28"/>
    <mergeCell ref="A11:A13"/>
    <mergeCell ref="A14:A16"/>
    <mergeCell ref="A17:A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43"/>
  <sheetViews>
    <sheetView workbookViewId="0">
      <selection activeCell="C2" sqref="C2:F22"/>
    </sheetView>
  </sheetViews>
  <sheetFormatPr defaultColWidth="12.5703125" defaultRowHeight="15.75" customHeight="1" x14ac:dyDescent="0.2"/>
  <cols>
    <col min="1" max="1" width="40.7109375" bestFit="1" customWidth="1"/>
    <col min="2" max="2" width="32.5703125" bestFit="1" customWidth="1"/>
    <col min="3" max="3" width="12" bestFit="1" customWidth="1"/>
    <col min="4" max="4" width="17.85546875" bestFit="1" customWidth="1"/>
    <col min="5" max="5" width="14.42578125" bestFit="1" customWidth="1"/>
    <col min="6" max="6" width="12" bestFit="1" customWidth="1"/>
    <col min="9" max="9" width="16.7109375" bestFit="1" customWidth="1"/>
  </cols>
  <sheetData>
    <row r="1" spans="1:9" ht="15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9" ht="24.75" customHeight="1" x14ac:dyDescent="0.2">
      <c r="A2" s="57" t="s">
        <v>15</v>
      </c>
      <c r="B2" s="57" t="s">
        <v>16</v>
      </c>
      <c r="C2" s="72">
        <v>0.86686991869918695</v>
      </c>
      <c r="D2" s="72">
        <v>0.86679213672292299</v>
      </c>
      <c r="E2" s="72">
        <v>0.86434243739786198</v>
      </c>
      <c r="F2" s="72">
        <v>0.86547288625253405</v>
      </c>
      <c r="I2" t="s">
        <v>61</v>
      </c>
    </row>
    <row r="3" spans="1:9" ht="24.75" customHeight="1" x14ac:dyDescent="0.2">
      <c r="A3" s="71"/>
      <c r="B3" s="71"/>
      <c r="C3" s="71"/>
      <c r="D3" s="71"/>
      <c r="E3" s="71"/>
      <c r="F3" s="71"/>
      <c r="I3" t="s">
        <v>62</v>
      </c>
    </row>
    <row r="4" spans="1:9" ht="24.75" customHeight="1" x14ac:dyDescent="0.2">
      <c r="A4" s="71"/>
      <c r="B4" s="71"/>
      <c r="C4" s="71"/>
      <c r="D4" s="71"/>
      <c r="E4" s="71"/>
      <c r="F4" s="71"/>
    </row>
    <row r="5" spans="1:9" ht="24.75" customHeight="1" x14ac:dyDescent="0.2">
      <c r="A5" s="71"/>
      <c r="B5" s="71"/>
      <c r="C5" s="71"/>
      <c r="D5" s="71"/>
      <c r="E5" s="71"/>
      <c r="F5" s="71"/>
    </row>
    <row r="6" spans="1:9" ht="24.75" customHeight="1" x14ac:dyDescent="0.2">
      <c r="A6" s="57" t="s">
        <v>19</v>
      </c>
      <c r="B6" s="71"/>
      <c r="C6" s="72">
        <v>0.86788617886178798</v>
      </c>
      <c r="D6" s="72">
        <v>0.86716248042608901</v>
      </c>
      <c r="E6" s="72">
        <v>0.86719902298236595</v>
      </c>
      <c r="F6" s="72">
        <v>0.86678668740366505</v>
      </c>
    </row>
    <row r="7" spans="1:9" ht="24.75" customHeight="1" x14ac:dyDescent="0.2">
      <c r="A7" s="71"/>
      <c r="B7" s="71"/>
      <c r="C7" s="71"/>
      <c r="D7" s="71"/>
      <c r="E7" s="71"/>
      <c r="F7" s="71"/>
    </row>
    <row r="8" spans="1:9" ht="24.75" customHeight="1" x14ac:dyDescent="0.2">
      <c r="A8" s="71"/>
      <c r="B8" s="71"/>
      <c r="C8" s="71"/>
      <c r="D8" s="71"/>
      <c r="E8" s="71"/>
      <c r="F8" s="71"/>
    </row>
    <row r="9" spans="1:9" ht="24.75" customHeight="1" x14ac:dyDescent="0.2">
      <c r="A9" s="71"/>
      <c r="B9" s="71"/>
      <c r="C9" s="71"/>
      <c r="D9" s="71"/>
      <c r="E9" s="71"/>
      <c r="F9" s="71"/>
    </row>
    <row r="10" spans="1:9" ht="24.75" customHeight="1" x14ac:dyDescent="0.2">
      <c r="A10" s="57" t="s">
        <v>21</v>
      </c>
      <c r="B10" s="71"/>
      <c r="C10" s="72">
        <v>0.86686991869918695</v>
      </c>
      <c r="D10" s="72">
        <v>0.86921071355096002</v>
      </c>
      <c r="E10" s="72">
        <v>0.86262109866401404</v>
      </c>
      <c r="F10" s="72">
        <v>0.86554861590488796</v>
      </c>
    </row>
    <row r="11" spans="1:9" ht="24.75" customHeight="1" x14ac:dyDescent="0.2">
      <c r="A11" s="71"/>
      <c r="B11" s="71"/>
      <c r="C11" s="71"/>
      <c r="D11" s="71"/>
      <c r="E11" s="71"/>
      <c r="F11" s="71"/>
    </row>
    <row r="12" spans="1:9" ht="24.75" customHeight="1" x14ac:dyDescent="0.2">
      <c r="A12" s="71"/>
      <c r="B12" s="71"/>
      <c r="C12" s="71"/>
      <c r="D12" s="71"/>
      <c r="E12" s="71"/>
      <c r="F12" s="71"/>
    </row>
    <row r="13" spans="1:9" ht="24.75" customHeight="1" x14ac:dyDescent="0.2">
      <c r="A13" s="71"/>
      <c r="B13" s="71"/>
      <c r="C13" s="71"/>
      <c r="D13" s="71"/>
      <c r="E13" s="71"/>
      <c r="F13" s="71"/>
    </row>
    <row r="14" spans="1:9" ht="30.75" customHeight="1" x14ac:dyDescent="0.2">
      <c r="A14" s="74" t="s">
        <v>23</v>
      </c>
      <c r="B14" s="71"/>
      <c r="C14" s="73">
        <v>0.86382113821138196</v>
      </c>
      <c r="D14" s="73">
        <v>0.86194695696039803</v>
      </c>
      <c r="E14" s="73">
        <v>0.86306715819320501</v>
      </c>
      <c r="F14" s="73">
        <v>0.86207153257932001</v>
      </c>
    </row>
    <row r="15" spans="1:9" ht="30.75" customHeight="1" x14ac:dyDescent="0.2">
      <c r="A15" s="75"/>
      <c r="B15" s="71"/>
      <c r="C15" s="71"/>
      <c r="D15" s="71"/>
      <c r="E15" s="71"/>
      <c r="F15" s="71"/>
    </row>
    <row r="16" spans="1:9" ht="30.75" customHeight="1" x14ac:dyDescent="0.2">
      <c r="A16" s="75"/>
      <c r="B16" s="71"/>
      <c r="C16" s="71"/>
      <c r="D16" s="71"/>
      <c r="E16" s="71"/>
      <c r="F16" s="71"/>
    </row>
    <row r="17" spans="1:9" ht="24.75" customHeight="1" x14ac:dyDescent="0.2">
      <c r="A17" s="74" t="s">
        <v>25</v>
      </c>
      <c r="B17" s="71"/>
      <c r="C17" s="73">
        <v>0.85365853658536495</v>
      </c>
      <c r="D17" s="73">
        <v>0.86037959795194596</v>
      </c>
      <c r="E17" s="73">
        <v>0.84994857801927604</v>
      </c>
      <c r="F17" s="73">
        <v>0.85340645929621195</v>
      </c>
    </row>
    <row r="18" spans="1:9" ht="24.75" customHeight="1" x14ac:dyDescent="0.2">
      <c r="A18" s="71"/>
      <c r="B18" s="71"/>
      <c r="C18" s="71"/>
      <c r="D18" s="71"/>
      <c r="E18" s="71"/>
      <c r="F18" s="71"/>
    </row>
    <row r="19" spans="1:9" ht="24.75" customHeight="1" x14ac:dyDescent="0.2">
      <c r="A19" s="71"/>
      <c r="B19" s="71"/>
      <c r="C19" s="71"/>
      <c r="D19" s="71"/>
      <c r="E19" s="71"/>
      <c r="F19" s="71"/>
    </row>
    <row r="20" spans="1:9" ht="24.75" customHeight="1" x14ac:dyDescent="0.2">
      <c r="A20" s="74" t="s">
        <v>27</v>
      </c>
      <c r="B20" s="71"/>
      <c r="C20" s="73">
        <v>0.87093495934959297</v>
      </c>
      <c r="D20" s="73">
        <v>0.87335102236613205</v>
      </c>
      <c r="E20" s="73">
        <v>0.86984068641503998</v>
      </c>
      <c r="F20" s="73">
        <v>0.870440507131375</v>
      </c>
    </row>
    <row r="21" spans="1:9" ht="24.75" customHeight="1" x14ac:dyDescent="0.2">
      <c r="A21" s="71"/>
      <c r="B21" s="71"/>
      <c r="C21" s="71"/>
      <c r="D21" s="71"/>
      <c r="E21" s="71"/>
      <c r="F21" s="71"/>
    </row>
    <row r="22" spans="1:9" ht="24.75" customHeight="1" x14ac:dyDescent="0.2">
      <c r="A22" s="71"/>
      <c r="B22" s="71"/>
      <c r="C22" s="71"/>
      <c r="D22" s="71"/>
      <c r="E22" s="71"/>
      <c r="F22" s="71"/>
    </row>
    <row r="23" spans="1:9" ht="24" customHeight="1" x14ac:dyDescent="0.2">
      <c r="A23" s="57" t="s">
        <v>17</v>
      </c>
      <c r="B23" s="57" t="s">
        <v>18</v>
      </c>
      <c r="C23" s="72">
        <v>0.78455284552845495</v>
      </c>
      <c r="D23" s="72">
        <v>0.788929550383211</v>
      </c>
      <c r="E23" s="72">
        <v>0.77752224714860396</v>
      </c>
      <c r="F23" s="72">
        <v>0.78193024874947004</v>
      </c>
      <c r="I23" t="s">
        <v>63</v>
      </c>
    </row>
    <row r="24" spans="1:9" ht="24" customHeight="1" x14ac:dyDescent="0.2">
      <c r="A24" s="71"/>
      <c r="B24" s="71"/>
      <c r="C24" s="71"/>
      <c r="D24" s="71"/>
      <c r="E24" s="71"/>
      <c r="F24" s="71"/>
    </row>
    <row r="25" spans="1:9" ht="24" customHeight="1" x14ac:dyDescent="0.2">
      <c r="A25" s="71"/>
      <c r="B25" s="71"/>
      <c r="C25" s="71"/>
      <c r="D25" s="71"/>
      <c r="E25" s="71"/>
      <c r="F25" s="71"/>
    </row>
    <row r="26" spans="1:9" ht="24" customHeight="1" x14ac:dyDescent="0.2">
      <c r="A26" s="71"/>
      <c r="B26" s="71"/>
      <c r="C26" s="71"/>
      <c r="D26" s="71"/>
      <c r="E26" s="71"/>
      <c r="F26" s="71"/>
    </row>
    <row r="27" spans="1:9" ht="24" customHeight="1" x14ac:dyDescent="0.2">
      <c r="A27" s="57" t="s">
        <v>20</v>
      </c>
      <c r="B27" s="71"/>
      <c r="C27" s="72">
        <v>0.79878048780487798</v>
      </c>
      <c r="D27" s="72">
        <v>0.79982215111491295</v>
      </c>
      <c r="E27" s="72">
        <v>0.79658827429965195</v>
      </c>
      <c r="F27" s="72">
        <v>0.79719867862732496</v>
      </c>
    </row>
    <row r="28" spans="1:9" ht="24" customHeight="1" x14ac:dyDescent="0.2">
      <c r="A28" s="71"/>
      <c r="B28" s="71"/>
      <c r="C28" s="71"/>
      <c r="D28" s="71"/>
      <c r="E28" s="71"/>
      <c r="F28" s="71"/>
    </row>
    <row r="29" spans="1:9" ht="24" customHeight="1" x14ac:dyDescent="0.2">
      <c r="A29" s="71"/>
      <c r="B29" s="71"/>
      <c r="C29" s="71"/>
      <c r="D29" s="71"/>
      <c r="E29" s="71"/>
      <c r="F29" s="71"/>
    </row>
    <row r="30" spans="1:9" ht="24" customHeight="1" x14ac:dyDescent="0.2">
      <c r="A30" s="71"/>
      <c r="B30" s="71"/>
      <c r="C30" s="71"/>
      <c r="D30" s="71"/>
      <c r="E30" s="71"/>
      <c r="F30" s="71"/>
    </row>
    <row r="31" spans="1:9" ht="24" customHeight="1" x14ac:dyDescent="0.2">
      <c r="A31" s="57" t="s">
        <v>22</v>
      </c>
      <c r="B31" s="71"/>
      <c r="C31" s="72">
        <v>0.79776422764227595</v>
      </c>
      <c r="D31" s="72">
        <v>0.79955938370572499</v>
      </c>
      <c r="E31" s="72">
        <v>0.79066671937620803</v>
      </c>
      <c r="F31" s="72">
        <v>0.79384421238649705</v>
      </c>
    </row>
    <row r="32" spans="1:9" ht="24" customHeight="1" x14ac:dyDescent="0.2">
      <c r="A32" s="71"/>
      <c r="B32" s="71"/>
      <c r="C32" s="71"/>
      <c r="D32" s="71"/>
      <c r="E32" s="71"/>
      <c r="F32" s="71"/>
    </row>
    <row r="33" spans="1:6" ht="24" customHeight="1" x14ac:dyDescent="0.2">
      <c r="A33" s="71"/>
      <c r="B33" s="71"/>
      <c r="C33" s="71"/>
      <c r="D33" s="71"/>
      <c r="E33" s="71"/>
      <c r="F33" s="71"/>
    </row>
    <row r="34" spans="1:6" ht="24" customHeight="1" x14ac:dyDescent="0.2">
      <c r="A34" s="71"/>
      <c r="B34" s="71"/>
      <c r="C34" s="71"/>
      <c r="D34" s="71"/>
      <c r="E34" s="71"/>
      <c r="F34" s="71"/>
    </row>
    <row r="35" spans="1:6" ht="24" customHeight="1" x14ac:dyDescent="0.2">
      <c r="A35" s="57" t="s">
        <v>24</v>
      </c>
      <c r="B35" s="71"/>
      <c r="C35" s="72">
        <v>0.79369918699186903</v>
      </c>
      <c r="D35" s="72">
        <v>0.79030199191489503</v>
      </c>
      <c r="E35" s="72">
        <v>0.79603128331439199</v>
      </c>
      <c r="F35" s="72">
        <v>0.79281237366352397</v>
      </c>
    </row>
    <row r="36" spans="1:6" ht="24" customHeight="1" x14ac:dyDescent="0.2">
      <c r="A36" s="71"/>
      <c r="B36" s="71"/>
      <c r="C36" s="71"/>
      <c r="D36" s="71"/>
      <c r="E36" s="71"/>
      <c r="F36" s="71"/>
    </row>
    <row r="37" spans="1:6" ht="24" customHeight="1" x14ac:dyDescent="0.2">
      <c r="A37" s="71"/>
      <c r="B37" s="71"/>
      <c r="C37" s="71"/>
      <c r="D37" s="71"/>
      <c r="E37" s="71"/>
      <c r="F37" s="71"/>
    </row>
    <row r="38" spans="1:6" ht="24" customHeight="1" x14ac:dyDescent="0.2">
      <c r="A38" s="57" t="s">
        <v>26</v>
      </c>
      <c r="B38" s="71"/>
      <c r="C38" s="72">
        <v>0.81097560975609695</v>
      </c>
      <c r="D38" s="72">
        <v>0.81566004463524799</v>
      </c>
      <c r="E38" s="72">
        <v>0.80268746239164102</v>
      </c>
      <c r="F38" s="72">
        <v>0.80813092188542501</v>
      </c>
    </row>
    <row r="39" spans="1:6" ht="24" customHeight="1" x14ac:dyDescent="0.2">
      <c r="A39" s="71"/>
      <c r="B39" s="71"/>
      <c r="C39" s="71"/>
      <c r="D39" s="71"/>
      <c r="E39" s="71"/>
      <c r="F39" s="71"/>
    </row>
    <row r="40" spans="1:6" ht="24" customHeight="1" x14ac:dyDescent="0.2">
      <c r="A40" s="71"/>
      <c r="B40" s="71"/>
      <c r="C40" s="71"/>
      <c r="D40" s="71"/>
      <c r="E40" s="71"/>
      <c r="F40" s="71"/>
    </row>
    <row r="41" spans="1:6" ht="24" customHeight="1" x14ac:dyDescent="0.2">
      <c r="A41" s="57" t="s">
        <v>28</v>
      </c>
      <c r="B41" s="71"/>
      <c r="C41" s="72">
        <v>0.79065040650406504</v>
      </c>
      <c r="D41" s="72">
        <v>0.79324517553915097</v>
      </c>
      <c r="E41" s="72">
        <v>0.78032015816081501</v>
      </c>
      <c r="F41" s="72">
        <v>0.78558438236206396</v>
      </c>
    </row>
    <row r="42" spans="1:6" ht="24" customHeight="1" x14ac:dyDescent="0.2">
      <c r="A42" s="71"/>
      <c r="B42" s="71"/>
      <c r="C42" s="71"/>
      <c r="D42" s="71"/>
      <c r="E42" s="71"/>
      <c r="F42" s="71"/>
    </row>
    <row r="43" spans="1:6" ht="24" customHeight="1" x14ac:dyDescent="0.2">
      <c r="A43" s="71"/>
      <c r="B43" s="71"/>
      <c r="C43" s="71"/>
      <c r="D43" s="71"/>
      <c r="E43" s="71"/>
      <c r="F43" s="71"/>
    </row>
  </sheetData>
  <mergeCells count="62">
    <mergeCell ref="E31:E34"/>
    <mergeCell ref="E35:E37"/>
    <mergeCell ref="E38:E40"/>
    <mergeCell ref="E41:E43"/>
    <mergeCell ref="D14:D16"/>
    <mergeCell ref="D17:D19"/>
    <mergeCell ref="D20:D22"/>
    <mergeCell ref="E20:E22"/>
    <mergeCell ref="D23:D26"/>
    <mergeCell ref="E23:E26"/>
    <mergeCell ref="E27:E30"/>
    <mergeCell ref="D27:D30"/>
    <mergeCell ref="D31:D34"/>
    <mergeCell ref="D35:D37"/>
    <mergeCell ref="D38:D40"/>
    <mergeCell ref="D41:D43"/>
    <mergeCell ref="A2:A5"/>
    <mergeCell ref="C2:C5"/>
    <mergeCell ref="A6:A9"/>
    <mergeCell ref="A14:A16"/>
    <mergeCell ref="A10:A13"/>
    <mergeCell ref="C6:C9"/>
    <mergeCell ref="C14:C16"/>
    <mergeCell ref="B2:B22"/>
    <mergeCell ref="C10:C13"/>
    <mergeCell ref="A17:A19"/>
    <mergeCell ref="A20:A22"/>
    <mergeCell ref="C20:C22"/>
    <mergeCell ref="C17:C19"/>
    <mergeCell ref="F23:F26"/>
    <mergeCell ref="D2:D5"/>
    <mergeCell ref="E2:E5"/>
    <mergeCell ref="D6:D9"/>
    <mergeCell ref="E6:E9"/>
    <mergeCell ref="D10:D13"/>
    <mergeCell ref="E10:E13"/>
    <mergeCell ref="E14:E16"/>
    <mergeCell ref="E17:E19"/>
    <mergeCell ref="F2:F5"/>
    <mergeCell ref="F6:F9"/>
    <mergeCell ref="F17:F19"/>
    <mergeCell ref="F14:F16"/>
    <mergeCell ref="F20:F22"/>
    <mergeCell ref="F10:F13"/>
    <mergeCell ref="F27:F30"/>
    <mergeCell ref="F31:F34"/>
    <mergeCell ref="F35:F37"/>
    <mergeCell ref="F38:F40"/>
    <mergeCell ref="F41:F43"/>
    <mergeCell ref="A31:A34"/>
    <mergeCell ref="B23:B43"/>
    <mergeCell ref="A23:A26"/>
    <mergeCell ref="C41:C43"/>
    <mergeCell ref="C31:C34"/>
    <mergeCell ref="A35:A37"/>
    <mergeCell ref="A38:A40"/>
    <mergeCell ref="C38:C40"/>
    <mergeCell ref="A41:A43"/>
    <mergeCell ref="C35:C37"/>
    <mergeCell ref="C23:C26"/>
    <mergeCell ref="C27:C30"/>
    <mergeCell ref="A27:A3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46F05-50EF-4C10-A021-C15BFDC3E7C6}">
  <dimension ref="A1:M49"/>
  <sheetViews>
    <sheetView zoomScale="115" zoomScaleNormal="115" workbookViewId="0">
      <selection activeCell="A2" sqref="A2:A13"/>
    </sheetView>
  </sheetViews>
  <sheetFormatPr defaultRowHeight="12.75" x14ac:dyDescent="0.2"/>
  <cols>
    <col min="1" max="1" width="50.5703125" bestFit="1" customWidth="1"/>
    <col min="2" max="2" width="17.5703125" bestFit="1" customWidth="1"/>
    <col min="3" max="3" width="13.42578125" customWidth="1"/>
    <col min="4" max="4" width="14.5703125" bestFit="1" customWidth="1"/>
    <col min="5" max="5" width="12" bestFit="1" customWidth="1"/>
    <col min="6" max="6" width="17" customWidth="1"/>
  </cols>
  <sheetData>
    <row r="1" spans="1:13" x14ac:dyDescent="0.2">
      <c r="A1" s="40" t="s">
        <v>53</v>
      </c>
      <c r="B1" s="40" t="s">
        <v>64</v>
      </c>
      <c r="C1" s="40" t="s">
        <v>2</v>
      </c>
      <c r="D1" s="40" t="s">
        <v>68</v>
      </c>
      <c r="E1" s="40" t="s">
        <v>69</v>
      </c>
      <c r="F1" s="40" t="s">
        <v>70</v>
      </c>
      <c r="G1" s="40" t="s">
        <v>50</v>
      </c>
      <c r="M1" s="43"/>
    </row>
    <row r="2" spans="1:13" ht="12.75" customHeight="1" x14ac:dyDescent="0.2">
      <c r="A2" s="57" t="s">
        <v>65</v>
      </c>
      <c r="B2" s="78" t="s">
        <v>66</v>
      </c>
      <c r="C2" s="31">
        <v>0.85772357723577231</v>
      </c>
      <c r="D2" s="31">
        <v>0.85840005740892555</v>
      </c>
      <c r="E2" s="31">
        <v>0.85396814331845194</v>
      </c>
      <c r="F2" s="31">
        <v>0.85590077509951634</v>
      </c>
      <c r="G2" s="31">
        <v>5</v>
      </c>
      <c r="M2" s="43"/>
    </row>
    <row r="3" spans="1:13" x14ac:dyDescent="0.2">
      <c r="A3" s="57"/>
      <c r="B3" s="78"/>
      <c r="C3" s="31">
        <v>0.85162601626016265</v>
      </c>
      <c r="D3" s="31">
        <v>0.8519071552294144</v>
      </c>
      <c r="E3" s="31">
        <v>0.84959730513413068</v>
      </c>
      <c r="F3" s="31">
        <v>0.85057031721760301</v>
      </c>
      <c r="G3" s="31">
        <v>6</v>
      </c>
      <c r="M3" s="43"/>
    </row>
    <row r="4" spans="1:13" x14ac:dyDescent="0.2">
      <c r="A4" s="57"/>
      <c r="B4" s="78"/>
      <c r="C4" s="31">
        <v>0.85569105691056913</v>
      </c>
      <c r="D4" s="31">
        <v>0.85308730176741887</v>
      </c>
      <c r="E4" s="31">
        <v>0.85238084173115036</v>
      </c>
      <c r="F4" s="31">
        <v>0.85260445754655845</v>
      </c>
      <c r="G4" s="31">
        <v>7</v>
      </c>
      <c r="M4" s="43"/>
    </row>
    <row r="5" spans="1:13" x14ac:dyDescent="0.2">
      <c r="A5" s="57"/>
      <c r="B5" s="78"/>
      <c r="C5" s="31">
        <v>0.86178861788617889</v>
      </c>
      <c r="D5" s="31">
        <v>0.85964036851327019</v>
      </c>
      <c r="E5" s="31">
        <v>0.86201463715817506</v>
      </c>
      <c r="F5" s="31">
        <v>0.86057226660039021</v>
      </c>
      <c r="G5" s="31">
        <v>8</v>
      </c>
      <c r="M5" s="43"/>
    </row>
    <row r="6" spans="1:13" x14ac:dyDescent="0.2">
      <c r="A6" s="57"/>
      <c r="B6" s="78"/>
      <c r="C6" s="31">
        <v>0.85060975609756095</v>
      </c>
      <c r="D6" s="31">
        <v>0.8548671619948216</v>
      </c>
      <c r="E6" s="31">
        <v>0.84550469084747082</v>
      </c>
      <c r="F6" s="31">
        <v>0.84837247862330445</v>
      </c>
      <c r="G6" s="31">
        <v>9</v>
      </c>
      <c r="M6" s="43"/>
    </row>
    <row r="7" spans="1:13" x14ac:dyDescent="0.2">
      <c r="A7" s="57"/>
      <c r="B7" s="78"/>
      <c r="C7" s="31">
        <v>0.85670731707317072</v>
      </c>
      <c r="D7" s="31">
        <v>0.8576732890949138</v>
      </c>
      <c r="E7" s="31">
        <v>0.85285095250367304</v>
      </c>
      <c r="F7" s="31">
        <v>0.85485069825059001</v>
      </c>
      <c r="G7" s="31">
        <v>10</v>
      </c>
      <c r="M7" s="43"/>
    </row>
    <row r="8" spans="1:13" x14ac:dyDescent="0.2">
      <c r="A8" s="57"/>
      <c r="B8" s="78" t="s">
        <v>67</v>
      </c>
      <c r="C8" s="36">
        <v>0.86686991869918695</v>
      </c>
      <c r="D8" s="36">
        <v>0.86679213672292299</v>
      </c>
      <c r="E8" s="36">
        <v>0.86434243739786198</v>
      </c>
      <c r="F8" s="36">
        <v>0.86547288625253405</v>
      </c>
      <c r="G8" s="31">
        <v>5</v>
      </c>
      <c r="M8" s="43"/>
    </row>
    <row r="9" spans="1:13" x14ac:dyDescent="0.2">
      <c r="A9" s="57"/>
      <c r="B9" s="78"/>
      <c r="C9" s="36">
        <v>0.86788617886178798</v>
      </c>
      <c r="D9" s="36">
        <v>0.86716248042608901</v>
      </c>
      <c r="E9" s="36">
        <v>0.86719902298236595</v>
      </c>
      <c r="F9" s="36">
        <v>0.86678668740366505</v>
      </c>
      <c r="G9" s="31">
        <v>6</v>
      </c>
      <c r="M9" s="43"/>
    </row>
    <row r="10" spans="1:13" x14ac:dyDescent="0.2">
      <c r="A10" s="57"/>
      <c r="B10" s="78"/>
      <c r="C10" s="36">
        <v>0.86686991869918695</v>
      </c>
      <c r="D10" s="36">
        <v>0.86921071355096002</v>
      </c>
      <c r="E10" s="36">
        <v>0.86262109866401404</v>
      </c>
      <c r="F10" s="36">
        <v>0.86554861590488796</v>
      </c>
      <c r="G10" s="31">
        <v>7</v>
      </c>
      <c r="M10" s="43"/>
    </row>
    <row r="11" spans="1:13" x14ac:dyDescent="0.2">
      <c r="A11" s="57"/>
      <c r="B11" s="78"/>
      <c r="C11" s="35">
        <v>0.86382113821138196</v>
      </c>
      <c r="D11" s="35">
        <v>0.86194695696039803</v>
      </c>
      <c r="E11" s="35">
        <v>0.86306715819320501</v>
      </c>
      <c r="F11" s="35">
        <v>0.86207153257932001</v>
      </c>
      <c r="G11" s="31">
        <v>8</v>
      </c>
      <c r="M11" s="43"/>
    </row>
    <row r="12" spans="1:13" x14ac:dyDescent="0.2">
      <c r="A12" s="57"/>
      <c r="B12" s="78"/>
      <c r="C12" s="35">
        <v>0.85365853658536495</v>
      </c>
      <c r="D12" s="35">
        <v>0.86037959795194596</v>
      </c>
      <c r="E12" s="35">
        <v>0.84994857801927604</v>
      </c>
      <c r="F12" s="35">
        <v>0.85340645929621195</v>
      </c>
      <c r="G12" s="31">
        <v>9</v>
      </c>
      <c r="M12" s="43"/>
    </row>
    <row r="13" spans="1:13" x14ac:dyDescent="0.2">
      <c r="A13" s="57"/>
      <c r="B13" s="78"/>
      <c r="C13" s="35">
        <v>0.87093495934959297</v>
      </c>
      <c r="D13" s="35">
        <v>0.87335102236613205</v>
      </c>
      <c r="E13" s="35">
        <v>0.86984068641503998</v>
      </c>
      <c r="F13" s="35">
        <v>0.870440507131375</v>
      </c>
      <c r="G13" s="31">
        <v>10</v>
      </c>
      <c r="M13" s="43"/>
    </row>
    <row r="14" spans="1:13" x14ac:dyDescent="0.2">
      <c r="A14" s="38"/>
      <c r="B14" s="39"/>
      <c r="C14" s="38"/>
      <c r="D14" s="38"/>
      <c r="E14" s="38"/>
      <c r="F14" s="38"/>
    </row>
    <row r="15" spans="1:13" x14ac:dyDescent="0.2">
      <c r="A15" s="37"/>
      <c r="C15" s="37"/>
      <c r="D15" s="37"/>
      <c r="E15" s="37"/>
      <c r="F15" s="37"/>
    </row>
    <row r="16" spans="1:13" x14ac:dyDescent="0.2">
      <c r="A16" s="37"/>
    </row>
    <row r="17" spans="1:6" x14ac:dyDescent="0.2">
      <c r="A17" s="41" t="s">
        <v>53</v>
      </c>
      <c r="B17" s="44" t="s">
        <v>72</v>
      </c>
      <c r="C17" s="44" t="s">
        <v>73</v>
      </c>
      <c r="D17" s="44" t="s">
        <v>74</v>
      </c>
      <c r="E17" s="44" t="s">
        <v>75</v>
      </c>
      <c r="F17" s="41" t="s">
        <v>50</v>
      </c>
    </row>
    <row r="18" spans="1:6" x14ac:dyDescent="0.2">
      <c r="A18" s="77" t="s">
        <v>71</v>
      </c>
      <c r="B18" s="42">
        <f>((C8-C2)/C2)*100</f>
        <v>1.0663507109004748</v>
      </c>
      <c r="C18" s="42">
        <f>((D8-D2)/D2)*100</f>
        <v>0.97764197958337373</v>
      </c>
      <c r="D18" s="42">
        <f>((E8-E2)/E2)*100</f>
        <v>1.2148338507214524</v>
      </c>
      <c r="E18" s="42">
        <f>((F8-F2)/F2)*100</f>
        <v>1.1183669219022201</v>
      </c>
      <c r="F18" s="34">
        <v>5</v>
      </c>
    </row>
    <row r="19" spans="1:6" x14ac:dyDescent="0.2">
      <c r="A19" s="77"/>
      <c r="B19" s="42">
        <f>((C9-C3)/C3)*100</f>
        <v>1.9093078758949069</v>
      </c>
      <c r="C19" s="42">
        <f t="shared" ref="C19:E19" si="0">((D9-D3)/D3)*100</f>
        <v>1.7907262667099473</v>
      </c>
      <c r="D19" s="42">
        <f t="shared" si="0"/>
        <v>2.0717718549562014</v>
      </c>
      <c r="E19" s="42">
        <f t="shared" si="0"/>
        <v>1.9065290497215139</v>
      </c>
      <c r="F19" s="34">
        <v>6</v>
      </c>
    </row>
    <row r="20" spans="1:6" x14ac:dyDescent="0.2">
      <c r="A20" s="77"/>
      <c r="B20" s="42">
        <f>((C10-C4)/C4)*100</f>
        <v>1.3064133016627004</v>
      </c>
      <c r="C20" s="42">
        <f t="shared" ref="C20:E20" si="1">((D10-D4)/D4)*100</f>
        <v>1.8900072419477827</v>
      </c>
      <c r="D20" s="42">
        <f t="shared" si="1"/>
        <v>1.2013710810376894</v>
      </c>
      <c r="E20" s="42">
        <f t="shared" si="1"/>
        <v>1.5181903218729853</v>
      </c>
      <c r="F20" s="34">
        <v>7</v>
      </c>
    </row>
    <row r="21" spans="1:6" x14ac:dyDescent="0.2">
      <c r="A21" s="77"/>
      <c r="B21" s="42">
        <f>((C11-C5)/C5)*100</f>
        <v>0.23584905660375233</v>
      </c>
      <c r="C21" s="42">
        <f t="shared" ref="C21:E21" si="2">((D11-D5)/D5)*100</f>
        <v>0.26832016406081871</v>
      </c>
      <c r="D21" s="42">
        <f t="shared" si="2"/>
        <v>0.12210013492344213</v>
      </c>
      <c r="E21" s="42">
        <f t="shared" si="2"/>
        <v>0.17421732457780767</v>
      </c>
      <c r="F21" s="34">
        <v>8</v>
      </c>
    </row>
    <row r="22" spans="1:6" x14ac:dyDescent="0.2">
      <c r="A22" s="77"/>
      <c r="B22" s="42">
        <f t="shared" ref="B22:E22" si="3">((C12-C6)/C6)*100</f>
        <v>0.35842293906799627</v>
      </c>
      <c r="C22" s="42">
        <f t="shared" si="3"/>
        <v>0.64482953635289519</v>
      </c>
      <c r="D22" s="42">
        <f t="shared" si="3"/>
        <v>0.52558988967299469</v>
      </c>
      <c r="E22" s="42">
        <f t="shared" si="3"/>
        <v>0.59336916269094298</v>
      </c>
      <c r="F22" s="34">
        <v>9</v>
      </c>
    </row>
    <row r="23" spans="1:6" x14ac:dyDescent="0.2">
      <c r="A23" s="77"/>
      <c r="B23" s="42">
        <f t="shared" ref="B23:E23" si="4">((C13-C7)/C7)*100</f>
        <v>1.660735468564591</v>
      </c>
      <c r="C23" s="42">
        <f t="shared" si="4"/>
        <v>1.8279376856614775</v>
      </c>
      <c r="D23" s="42">
        <f t="shared" si="4"/>
        <v>1.9921105629877058</v>
      </c>
      <c r="E23" s="42">
        <f t="shared" si="4"/>
        <v>1.8236879156429027</v>
      </c>
      <c r="F23" s="34">
        <v>10</v>
      </c>
    </row>
    <row r="24" spans="1:6" x14ac:dyDescent="0.2">
      <c r="C24" s="37"/>
      <c r="D24" s="37"/>
      <c r="E24" s="37"/>
      <c r="F24" s="37"/>
    </row>
    <row r="25" spans="1:6" x14ac:dyDescent="0.2">
      <c r="A25" s="44" t="s">
        <v>84</v>
      </c>
      <c r="B25" s="44" t="s">
        <v>76</v>
      </c>
      <c r="C25" s="44" t="s">
        <v>77</v>
      </c>
      <c r="D25" s="44" t="s">
        <v>78</v>
      </c>
      <c r="E25" s="44" t="s">
        <v>79</v>
      </c>
      <c r="F25" s="44" t="s">
        <v>80</v>
      </c>
    </row>
    <row r="26" spans="1:6" x14ac:dyDescent="0.2">
      <c r="A26" s="76" t="s">
        <v>85</v>
      </c>
      <c r="B26" s="45" t="s">
        <v>2</v>
      </c>
      <c r="C26" s="34">
        <v>0.85772357723577231</v>
      </c>
      <c r="D26" s="32">
        <v>0.86686991869918695</v>
      </c>
      <c r="E26" s="45">
        <f>(D26-C26)</f>
        <v>9.1463414634146423E-3</v>
      </c>
      <c r="F26" s="42">
        <f>((C8-C2)/C2)*100</f>
        <v>1.0663507109004748</v>
      </c>
    </row>
    <row r="27" spans="1:6" x14ac:dyDescent="0.2">
      <c r="A27" s="76"/>
      <c r="B27" s="45" t="s">
        <v>81</v>
      </c>
      <c r="C27" s="34">
        <v>0.85840005740892555</v>
      </c>
      <c r="D27" s="32">
        <v>0.86679213672292299</v>
      </c>
      <c r="E27" s="45">
        <f t="shared" ref="E27:E49" si="5">(D27-C27)</f>
        <v>8.3920793139974359E-3</v>
      </c>
      <c r="F27" s="42">
        <f t="shared" ref="F27:F31" si="6">((C9-C3)/C3)*100</f>
        <v>1.9093078758949069</v>
      </c>
    </row>
    <row r="28" spans="1:6" x14ac:dyDescent="0.2">
      <c r="A28" s="76"/>
      <c r="B28" s="45" t="s">
        <v>82</v>
      </c>
      <c r="C28" s="34">
        <v>0.85396814331845194</v>
      </c>
      <c r="D28" s="32">
        <v>0.86434243739786198</v>
      </c>
      <c r="E28" s="45">
        <f t="shared" si="5"/>
        <v>1.037429407941004E-2</v>
      </c>
      <c r="F28" s="42">
        <f t="shared" si="6"/>
        <v>1.3064133016627004</v>
      </c>
    </row>
    <row r="29" spans="1:6" x14ac:dyDescent="0.2">
      <c r="A29" s="76"/>
      <c r="B29" s="45" t="s">
        <v>83</v>
      </c>
      <c r="C29" s="34">
        <v>0.85590077509951634</v>
      </c>
      <c r="D29" s="32">
        <v>0.86547288625253405</v>
      </c>
      <c r="E29" s="45">
        <f t="shared" si="5"/>
        <v>9.5721111530177039E-3</v>
      </c>
      <c r="F29" s="42">
        <f t="shared" si="6"/>
        <v>0.23584905660375233</v>
      </c>
    </row>
    <row r="30" spans="1:6" x14ac:dyDescent="0.2">
      <c r="A30" s="76" t="s">
        <v>86</v>
      </c>
      <c r="B30" s="45" t="s">
        <v>2</v>
      </c>
      <c r="C30" s="34">
        <v>0.85162601626016265</v>
      </c>
      <c r="D30" s="32">
        <v>0.86788617886178798</v>
      </c>
      <c r="E30" s="45">
        <f t="shared" si="5"/>
        <v>1.6260162601625328E-2</v>
      </c>
      <c r="F30" s="42">
        <f t="shared" si="6"/>
        <v>0.35842293906799627</v>
      </c>
    </row>
    <row r="31" spans="1:6" x14ac:dyDescent="0.2">
      <c r="A31" s="76"/>
      <c r="B31" s="45" t="s">
        <v>81</v>
      </c>
      <c r="C31" s="34">
        <v>0.8519071552294144</v>
      </c>
      <c r="D31" s="32">
        <v>0.86716248042608901</v>
      </c>
      <c r="E31" s="45">
        <f t="shared" si="5"/>
        <v>1.5255325196674607E-2</v>
      </c>
      <c r="F31" s="42">
        <f t="shared" si="6"/>
        <v>1.660735468564591</v>
      </c>
    </row>
    <row r="32" spans="1:6" x14ac:dyDescent="0.2">
      <c r="A32" s="76"/>
      <c r="B32" s="45" t="s">
        <v>82</v>
      </c>
      <c r="C32" s="34">
        <v>0.84959730513413068</v>
      </c>
      <c r="D32" s="32">
        <v>0.86719902298236595</v>
      </c>
      <c r="E32" s="45">
        <f t="shared" si="5"/>
        <v>1.7601717848235277E-2</v>
      </c>
      <c r="F32" s="42">
        <f>((D8-D2)/D2)*100</f>
        <v>0.97764197958337373</v>
      </c>
    </row>
    <row r="33" spans="1:6" x14ac:dyDescent="0.2">
      <c r="A33" s="76"/>
      <c r="B33" s="45" t="s">
        <v>83</v>
      </c>
      <c r="C33" s="34">
        <v>0.85057031721760301</v>
      </c>
      <c r="D33" s="32">
        <v>0.86678668740366505</v>
      </c>
      <c r="E33" s="45">
        <f t="shared" si="5"/>
        <v>1.6216370186062035E-2</v>
      </c>
      <c r="F33" s="42">
        <f t="shared" ref="F33:F37" si="7">((D9-D3)/D3)*100</f>
        <v>1.7907262667099473</v>
      </c>
    </row>
    <row r="34" spans="1:6" x14ac:dyDescent="0.2">
      <c r="A34" s="76" t="s">
        <v>87</v>
      </c>
      <c r="B34" s="45" t="s">
        <v>2</v>
      </c>
      <c r="C34" s="34">
        <v>0.85569105691056913</v>
      </c>
      <c r="D34" s="32">
        <v>0.86686991869918695</v>
      </c>
      <c r="E34" s="45">
        <f t="shared" si="5"/>
        <v>1.1178861788617822E-2</v>
      </c>
      <c r="F34" s="42">
        <f t="shared" si="7"/>
        <v>1.8900072419477827</v>
      </c>
    </row>
    <row r="35" spans="1:6" x14ac:dyDescent="0.2">
      <c r="A35" s="76"/>
      <c r="B35" s="45" t="s">
        <v>81</v>
      </c>
      <c r="C35" s="34">
        <v>0.85308730176741887</v>
      </c>
      <c r="D35" s="32">
        <v>0.86921071355096002</v>
      </c>
      <c r="E35" s="45">
        <f t="shared" si="5"/>
        <v>1.6123411783541153E-2</v>
      </c>
      <c r="F35" s="42">
        <f t="shared" si="7"/>
        <v>0.26832016406081871</v>
      </c>
    </row>
    <row r="36" spans="1:6" x14ac:dyDescent="0.2">
      <c r="A36" s="76"/>
      <c r="B36" s="45" t="s">
        <v>82</v>
      </c>
      <c r="C36" s="34">
        <v>0.85238084173115036</v>
      </c>
      <c r="D36" s="32">
        <v>0.86262109866401404</v>
      </c>
      <c r="E36" s="45">
        <f t="shared" si="5"/>
        <v>1.0240256932863678E-2</v>
      </c>
      <c r="F36" s="42">
        <f t="shared" si="7"/>
        <v>0.64482953635289519</v>
      </c>
    </row>
    <row r="37" spans="1:6" x14ac:dyDescent="0.2">
      <c r="A37" s="76"/>
      <c r="B37" s="45" t="s">
        <v>83</v>
      </c>
      <c r="C37" s="34">
        <v>0.85260445754655845</v>
      </c>
      <c r="D37" s="32">
        <v>0.86554861590488796</v>
      </c>
      <c r="E37" s="45">
        <f t="shared" si="5"/>
        <v>1.2944158358329516E-2</v>
      </c>
      <c r="F37" s="42">
        <f t="shared" si="7"/>
        <v>1.8279376856614775</v>
      </c>
    </row>
    <row r="38" spans="1:6" x14ac:dyDescent="0.2">
      <c r="A38" s="76" t="s">
        <v>88</v>
      </c>
      <c r="B38" s="45" t="s">
        <v>2</v>
      </c>
      <c r="C38" s="34">
        <v>0.86178861788617889</v>
      </c>
      <c r="D38" s="33">
        <v>0.86382113821138196</v>
      </c>
      <c r="E38" s="45">
        <f t="shared" si="5"/>
        <v>2.0325203252030688E-3</v>
      </c>
      <c r="F38" s="42">
        <f>((E8-E2)/E2)*100</f>
        <v>1.2148338507214524</v>
      </c>
    </row>
    <row r="39" spans="1:6" x14ac:dyDescent="0.2">
      <c r="A39" s="76"/>
      <c r="B39" s="45" t="s">
        <v>81</v>
      </c>
      <c r="C39" s="34">
        <v>0.85964036851327019</v>
      </c>
      <c r="D39" s="33">
        <v>0.86194695696039803</v>
      </c>
      <c r="E39" s="45">
        <f t="shared" si="5"/>
        <v>2.3065884471278331E-3</v>
      </c>
      <c r="F39" s="42">
        <f t="shared" ref="F39:F43" si="8">((E9-E3)/E3)*100</f>
        <v>2.0717718549562014</v>
      </c>
    </row>
    <row r="40" spans="1:6" x14ac:dyDescent="0.2">
      <c r="A40" s="76"/>
      <c r="B40" s="45" t="s">
        <v>82</v>
      </c>
      <c r="C40" s="34">
        <v>0.86201463715817506</v>
      </c>
      <c r="D40" s="33">
        <v>0.86306715819320501</v>
      </c>
      <c r="E40" s="45">
        <f t="shared" si="5"/>
        <v>1.0525210350299519E-3</v>
      </c>
      <c r="F40" s="42">
        <f t="shared" si="8"/>
        <v>1.2013710810376894</v>
      </c>
    </row>
    <row r="41" spans="1:6" x14ac:dyDescent="0.2">
      <c r="A41" s="76"/>
      <c r="B41" s="45" t="s">
        <v>83</v>
      </c>
      <c r="C41" s="34">
        <v>0.86057226660039021</v>
      </c>
      <c r="D41" s="33">
        <v>0.86207153257932001</v>
      </c>
      <c r="E41" s="45">
        <f t="shared" si="5"/>
        <v>1.499265978929798E-3</v>
      </c>
      <c r="F41" s="42">
        <f t="shared" si="8"/>
        <v>0.12210013492344213</v>
      </c>
    </row>
    <row r="42" spans="1:6" x14ac:dyDescent="0.2">
      <c r="A42" s="76" t="s">
        <v>89</v>
      </c>
      <c r="B42" s="45" t="s">
        <v>2</v>
      </c>
      <c r="C42" s="34">
        <v>0.85060975609756095</v>
      </c>
      <c r="D42" s="33">
        <v>0.85365853658536495</v>
      </c>
      <c r="E42" s="45">
        <f t="shared" si="5"/>
        <v>3.0487804878039926E-3</v>
      </c>
      <c r="F42" s="42">
        <f t="shared" si="8"/>
        <v>0.52558988967299469</v>
      </c>
    </row>
    <row r="43" spans="1:6" x14ac:dyDescent="0.2">
      <c r="A43" s="76"/>
      <c r="B43" s="45" t="s">
        <v>81</v>
      </c>
      <c r="C43" s="34">
        <v>0.8548671619948216</v>
      </c>
      <c r="D43" s="33">
        <v>0.86037959795194596</v>
      </c>
      <c r="E43" s="45">
        <f t="shared" si="5"/>
        <v>5.512435957124362E-3</v>
      </c>
      <c r="F43" s="42">
        <f t="shared" si="8"/>
        <v>1.9921105629877058</v>
      </c>
    </row>
    <row r="44" spans="1:6" x14ac:dyDescent="0.2">
      <c r="A44" s="76"/>
      <c r="B44" s="45" t="s">
        <v>82</v>
      </c>
      <c r="C44" s="34">
        <v>0.84550469084747082</v>
      </c>
      <c r="D44" s="33">
        <v>0.84994857801927604</v>
      </c>
      <c r="E44" s="45">
        <f t="shared" si="5"/>
        <v>4.4438871718052164E-3</v>
      </c>
      <c r="F44" s="42">
        <f>((F8-F2)/F2)*100</f>
        <v>1.1183669219022201</v>
      </c>
    </row>
    <row r="45" spans="1:6" x14ac:dyDescent="0.2">
      <c r="A45" s="76"/>
      <c r="B45" s="45" t="s">
        <v>83</v>
      </c>
      <c r="C45" s="34">
        <v>0.84837247862330445</v>
      </c>
      <c r="D45" s="33">
        <v>0.85340645929621195</v>
      </c>
      <c r="E45" s="45">
        <f t="shared" si="5"/>
        <v>5.033980672907501E-3</v>
      </c>
      <c r="F45" s="42">
        <f t="shared" ref="F45:F49" si="9">((F9-F3)/F3)*100</f>
        <v>1.9065290497215139</v>
      </c>
    </row>
    <row r="46" spans="1:6" x14ac:dyDescent="0.2">
      <c r="A46" s="76" t="s">
        <v>90</v>
      </c>
      <c r="B46" s="45" t="s">
        <v>2</v>
      </c>
      <c r="C46" s="34">
        <v>0.85670731707317072</v>
      </c>
      <c r="D46" s="33">
        <v>0.87093495934959297</v>
      </c>
      <c r="E46" s="45">
        <f t="shared" si="5"/>
        <v>1.4227642276422259E-2</v>
      </c>
      <c r="F46" s="42">
        <f t="shared" si="9"/>
        <v>1.5181903218729853</v>
      </c>
    </row>
    <row r="47" spans="1:6" x14ac:dyDescent="0.2">
      <c r="A47" s="76"/>
      <c r="B47" s="45" t="s">
        <v>81</v>
      </c>
      <c r="C47" s="34">
        <v>0.8576732890949138</v>
      </c>
      <c r="D47" s="33">
        <v>0.87335102236613205</v>
      </c>
      <c r="E47" s="45">
        <f t="shared" si="5"/>
        <v>1.5677733271218242E-2</v>
      </c>
      <c r="F47" s="42">
        <f t="shared" si="9"/>
        <v>0.17421732457780767</v>
      </c>
    </row>
    <row r="48" spans="1:6" x14ac:dyDescent="0.2">
      <c r="A48" s="76"/>
      <c r="B48" s="45" t="s">
        <v>82</v>
      </c>
      <c r="C48" s="34">
        <v>0.85285095250367304</v>
      </c>
      <c r="D48" s="33">
        <v>0.86984068641503998</v>
      </c>
      <c r="E48" s="45">
        <f t="shared" si="5"/>
        <v>1.6989733911366933E-2</v>
      </c>
      <c r="F48" s="42">
        <f t="shared" si="9"/>
        <v>0.59336916269094298</v>
      </c>
    </row>
    <row r="49" spans="1:6" x14ac:dyDescent="0.2">
      <c r="A49" s="76"/>
      <c r="B49" s="45" t="s">
        <v>83</v>
      </c>
      <c r="C49" s="34">
        <v>0.85485069825059001</v>
      </c>
      <c r="D49" s="33">
        <v>0.870440507131375</v>
      </c>
      <c r="E49" s="45">
        <f t="shared" si="5"/>
        <v>1.5589808880784983E-2</v>
      </c>
      <c r="F49" s="42">
        <f t="shared" si="9"/>
        <v>1.8236879156429027</v>
      </c>
    </row>
  </sheetData>
  <mergeCells count="10">
    <mergeCell ref="A2:A13"/>
    <mergeCell ref="B2:B7"/>
    <mergeCell ref="B8:B13"/>
    <mergeCell ref="A42:A45"/>
    <mergeCell ref="A46:A49"/>
    <mergeCell ref="A18:A23"/>
    <mergeCell ref="A26:A29"/>
    <mergeCell ref="A30:A33"/>
    <mergeCell ref="A34:A37"/>
    <mergeCell ref="A38:A4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621B-6209-4E94-89C9-57392C5697C1}">
  <dimension ref="A1:Q26"/>
  <sheetViews>
    <sheetView zoomScale="130" zoomScaleNormal="130" workbookViewId="0">
      <selection activeCell="J27" sqref="J27"/>
    </sheetView>
  </sheetViews>
  <sheetFormatPr defaultRowHeight="12.75" x14ac:dyDescent="0.2"/>
  <cols>
    <col min="1" max="1" width="29" customWidth="1"/>
    <col min="2" max="2" width="13.28515625" customWidth="1"/>
    <col min="3" max="4" width="13.140625" customWidth="1"/>
    <col min="5" max="5" width="14.5703125" bestFit="1" customWidth="1"/>
    <col min="6" max="8" width="12.42578125" customWidth="1"/>
    <col min="9" max="9" width="17.5703125" customWidth="1"/>
    <col min="10" max="11" width="14.85546875" customWidth="1"/>
    <col min="12" max="12" width="16.28515625" customWidth="1"/>
    <col min="13" max="13" width="14.85546875" customWidth="1"/>
  </cols>
  <sheetData>
    <row r="1" spans="1:17" ht="30" x14ac:dyDescent="0.2">
      <c r="A1" s="52" t="s">
        <v>98</v>
      </c>
      <c r="B1" s="47" t="s">
        <v>29</v>
      </c>
      <c r="C1" s="47" t="s">
        <v>96</v>
      </c>
      <c r="D1" s="47" t="s">
        <v>91</v>
      </c>
      <c r="E1" s="47" t="s">
        <v>95</v>
      </c>
      <c r="F1" s="47" t="s">
        <v>97</v>
      </c>
      <c r="G1" s="47" t="s">
        <v>91</v>
      </c>
      <c r="H1" s="47" t="s">
        <v>95</v>
      </c>
      <c r="I1" s="47" t="s">
        <v>50</v>
      </c>
      <c r="J1" s="47" t="s">
        <v>100</v>
      </c>
      <c r="K1" s="47" t="s">
        <v>99</v>
      </c>
      <c r="L1" s="47" t="s">
        <v>102</v>
      </c>
      <c r="M1" s="47" t="s">
        <v>103</v>
      </c>
      <c r="N1" s="53"/>
    </row>
    <row r="2" spans="1:17" ht="14.25" customHeight="1" x14ac:dyDescent="0.2">
      <c r="A2" s="57" t="s">
        <v>65</v>
      </c>
      <c r="B2" s="48" t="s">
        <v>54</v>
      </c>
      <c r="C2" s="19">
        <v>315</v>
      </c>
      <c r="D2" s="19">
        <v>32.01</v>
      </c>
      <c r="E2" s="19">
        <f>ABS(D22-C2)</f>
        <v>8</v>
      </c>
      <c r="F2" s="49">
        <v>312</v>
      </c>
      <c r="G2" s="49">
        <v>31.71</v>
      </c>
      <c r="H2" s="19">
        <f>ABS(D22-F2)</f>
        <v>5</v>
      </c>
      <c r="I2" s="82">
        <v>5</v>
      </c>
      <c r="J2" s="79">
        <f>SUM(E2:E4)</f>
        <v>28</v>
      </c>
      <c r="K2" s="79">
        <f>SUM(H2:H4)</f>
        <v>16</v>
      </c>
      <c r="L2" s="79">
        <f>J2/D25*100</f>
        <v>2.8455284552845526</v>
      </c>
      <c r="M2" s="79">
        <f>K2/D25*100</f>
        <v>1.6260162601626018</v>
      </c>
      <c r="N2" s="54"/>
    </row>
    <row r="3" spans="1:17" ht="14.25" x14ac:dyDescent="0.2">
      <c r="A3" s="57"/>
      <c r="B3" s="48" t="s">
        <v>56</v>
      </c>
      <c r="C3" s="19">
        <v>243</v>
      </c>
      <c r="D3" s="19">
        <v>24.7</v>
      </c>
      <c r="E3" s="19">
        <f>D23-C3</f>
        <v>14</v>
      </c>
      <c r="F3" s="49">
        <v>249</v>
      </c>
      <c r="G3" s="49">
        <v>25.3</v>
      </c>
      <c r="H3" s="19">
        <f>D23-F3</f>
        <v>8</v>
      </c>
      <c r="I3" s="82"/>
      <c r="J3" s="80"/>
      <c r="K3" s="80"/>
      <c r="L3" s="80"/>
      <c r="M3" s="80"/>
      <c r="N3" s="54"/>
    </row>
    <row r="4" spans="1:17" ht="14.25" x14ac:dyDescent="0.2">
      <c r="A4" s="57"/>
      <c r="B4" s="48" t="s">
        <v>55</v>
      </c>
      <c r="C4" s="19">
        <v>426</v>
      </c>
      <c r="D4" s="19">
        <v>43.29</v>
      </c>
      <c r="E4" s="19">
        <f>ABS(D24-C4)</f>
        <v>6</v>
      </c>
      <c r="F4" s="49">
        <v>423</v>
      </c>
      <c r="G4" s="49">
        <v>42.99</v>
      </c>
      <c r="H4" s="19">
        <f>ABS(D24-F4)</f>
        <v>3</v>
      </c>
      <c r="I4" s="82"/>
      <c r="J4" s="81"/>
      <c r="K4" s="81"/>
      <c r="L4" s="81"/>
      <c r="M4" s="81"/>
      <c r="N4" s="54"/>
    </row>
    <row r="5" spans="1:17" ht="14.25" x14ac:dyDescent="0.2">
      <c r="A5" s="57"/>
      <c r="B5" s="48" t="s">
        <v>54</v>
      </c>
      <c r="C5" s="19">
        <v>294</v>
      </c>
      <c r="D5" s="19">
        <v>29.88</v>
      </c>
      <c r="E5" s="19">
        <f>D22-C5</f>
        <v>13</v>
      </c>
      <c r="F5" s="49">
        <v>290</v>
      </c>
      <c r="G5" s="49">
        <v>29.47</v>
      </c>
      <c r="H5" s="19">
        <f>D22-F5</f>
        <v>17</v>
      </c>
      <c r="I5" s="82">
        <v>6</v>
      </c>
      <c r="J5" s="79">
        <f>SUM(E5:E7)</f>
        <v>26</v>
      </c>
      <c r="K5" s="79">
        <f t="shared" ref="K5" si="0">SUM(H5:H7)</f>
        <v>34</v>
      </c>
      <c r="L5" s="79">
        <f>J5/D25*100</f>
        <v>2.6422764227642279</v>
      </c>
      <c r="M5" s="79">
        <f>K5/D25*100</f>
        <v>3.4552845528455287</v>
      </c>
      <c r="N5" s="53"/>
    </row>
    <row r="6" spans="1:17" ht="14.25" x14ac:dyDescent="0.2">
      <c r="A6" s="57"/>
      <c r="B6" s="48" t="s">
        <v>56</v>
      </c>
      <c r="C6" s="19">
        <v>260</v>
      </c>
      <c r="D6" s="19">
        <v>26.42</v>
      </c>
      <c r="E6" s="19">
        <f>ABS(D23-C6)</f>
        <v>3</v>
      </c>
      <c r="F6" s="49">
        <v>269</v>
      </c>
      <c r="G6" s="49">
        <v>27.34</v>
      </c>
      <c r="H6" s="19">
        <f>ABS(D23-F6)</f>
        <v>12</v>
      </c>
      <c r="I6" s="82"/>
      <c r="J6" s="80"/>
      <c r="K6" s="80"/>
      <c r="L6" s="80"/>
      <c r="M6" s="80"/>
    </row>
    <row r="7" spans="1:17" ht="14.25" x14ac:dyDescent="0.2">
      <c r="A7" s="57"/>
      <c r="B7" s="48" t="s">
        <v>55</v>
      </c>
      <c r="C7" s="19">
        <v>430</v>
      </c>
      <c r="D7" s="19">
        <v>43.7</v>
      </c>
      <c r="E7" s="19">
        <f>ABS(D24-C7)</f>
        <v>10</v>
      </c>
      <c r="F7" s="49">
        <v>425</v>
      </c>
      <c r="G7" s="49">
        <v>43.19</v>
      </c>
      <c r="H7" s="19">
        <f>ABS(D24-F7)</f>
        <v>5</v>
      </c>
      <c r="I7" s="82"/>
      <c r="J7" s="81"/>
      <c r="K7" s="81"/>
      <c r="L7" s="81"/>
      <c r="M7" s="81"/>
    </row>
    <row r="8" spans="1:17" ht="15" x14ac:dyDescent="0.2">
      <c r="A8" s="57"/>
      <c r="B8" s="48" t="s">
        <v>54</v>
      </c>
      <c r="C8" s="19">
        <v>317</v>
      </c>
      <c r="D8" s="19">
        <v>32.22</v>
      </c>
      <c r="E8" s="19">
        <f>ABS(D22-C8)</f>
        <v>10</v>
      </c>
      <c r="F8" s="49">
        <v>311</v>
      </c>
      <c r="G8" s="49">
        <v>31.61</v>
      </c>
      <c r="H8" s="19">
        <f>ABS(D22-F8)</f>
        <v>4</v>
      </c>
      <c r="I8" s="82">
        <v>7</v>
      </c>
      <c r="J8" s="79">
        <f>SUM(E8:E10)</f>
        <v>20</v>
      </c>
      <c r="K8" s="79">
        <f t="shared" ref="K8" si="1">SUM(H8:H10)</f>
        <v>32</v>
      </c>
      <c r="L8" s="79">
        <f>J8/D25*100</f>
        <v>2.0325203252032518</v>
      </c>
      <c r="M8" s="79">
        <f>K8/D25*100</f>
        <v>3.2520325203252036</v>
      </c>
      <c r="N8" s="55"/>
      <c r="O8" s="2"/>
      <c r="P8" s="2"/>
      <c r="Q8" s="2"/>
    </row>
    <row r="9" spans="1:17" ht="14.25" x14ac:dyDescent="0.2">
      <c r="A9" s="57"/>
      <c r="B9" s="48" t="s">
        <v>56</v>
      </c>
      <c r="C9" s="19">
        <v>250</v>
      </c>
      <c r="D9" s="19">
        <v>25.41</v>
      </c>
      <c r="E9" s="19">
        <f>D23-C9</f>
        <v>7</v>
      </c>
      <c r="F9" s="49">
        <v>241</v>
      </c>
      <c r="G9" s="49">
        <v>24.49</v>
      </c>
      <c r="H9" s="19">
        <f>D23-F9</f>
        <v>16</v>
      </c>
      <c r="I9" s="82"/>
      <c r="J9" s="80"/>
      <c r="K9" s="80"/>
      <c r="L9" s="80"/>
      <c r="M9" s="80"/>
      <c r="N9" s="56"/>
      <c r="O9" s="50"/>
      <c r="P9" s="50"/>
      <c r="Q9" s="50"/>
    </row>
    <row r="10" spans="1:17" ht="14.25" x14ac:dyDescent="0.2">
      <c r="A10" s="57"/>
      <c r="B10" s="48" t="s">
        <v>55</v>
      </c>
      <c r="C10" s="19">
        <v>417</v>
      </c>
      <c r="D10" s="19">
        <v>42.38</v>
      </c>
      <c r="E10" s="19">
        <f>D24-C10</f>
        <v>3</v>
      </c>
      <c r="F10" s="49">
        <v>432</v>
      </c>
      <c r="G10" s="49">
        <v>43.9</v>
      </c>
      <c r="H10" s="19">
        <f>ABS(D24-F10)</f>
        <v>12</v>
      </c>
      <c r="I10" s="82"/>
      <c r="J10" s="81"/>
      <c r="K10" s="81"/>
      <c r="L10" s="81"/>
      <c r="M10" s="81"/>
    </row>
    <row r="11" spans="1:17" ht="14.25" x14ac:dyDescent="0.2">
      <c r="A11" s="57"/>
      <c r="B11" s="48" t="s">
        <v>54</v>
      </c>
      <c r="C11" s="19">
        <v>297</v>
      </c>
      <c r="D11" s="19">
        <v>30.18</v>
      </c>
      <c r="E11" s="19">
        <f>D22-C11</f>
        <v>10</v>
      </c>
      <c r="F11" s="49">
        <v>290</v>
      </c>
      <c r="G11" s="49">
        <v>29.47</v>
      </c>
      <c r="H11" s="19">
        <f>D22-F11</f>
        <v>17</v>
      </c>
      <c r="I11" s="82">
        <v>8</v>
      </c>
      <c r="J11" s="79">
        <f>SUM(E11:E13)</f>
        <v>26</v>
      </c>
      <c r="K11" s="79">
        <f t="shared" ref="K11" si="2">SUM(H11:H13)</f>
        <v>34</v>
      </c>
      <c r="L11" s="79">
        <f>J11/D25*100</f>
        <v>2.6422764227642279</v>
      </c>
      <c r="M11" s="79">
        <f>K11/D25*100</f>
        <v>3.4552845528455287</v>
      </c>
    </row>
    <row r="12" spans="1:17" ht="14.25" x14ac:dyDescent="0.2">
      <c r="A12" s="57"/>
      <c r="B12" s="48" t="s">
        <v>56</v>
      </c>
      <c r="C12" s="19">
        <v>270</v>
      </c>
      <c r="D12" s="19">
        <v>27.44</v>
      </c>
      <c r="E12" s="19">
        <f>ABS(D23-C12)</f>
        <v>13</v>
      </c>
      <c r="F12" s="49">
        <v>271</v>
      </c>
      <c r="G12" s="49">
        <v>27.54</v>
      </c>
      <c r="H12" s="19">
        <f>ABS(D23-F12)</f>
        <v>14</v>
      </c>
      <c r="I12" s="82"/>
      <c r="J12" s="80"/>
      <c r="K12" s="80"/>
      <c r="L12" s="80"/>
      <c r="M12" s="80"/>
    </row>
    <row r="13" spans="1:17" ht="14.25" x14ac:dyDescent="0.2">
      <c r="A13" s="57"/>
      <c r="B13" s="48" t="s">
        <v>55</v>
      </c>
      <c r="C13" s="19">
        <v>417</v>
      </c>
      <c r="D13" s="19">
        <v>42.38</v>
      </c>
      <c r="E13" s="19">
        <f>D24-C13</f>
        <v>3</v>
      </c>
      <c r="F13" s="49">
        <v>423</v>
      </c>
      <c r="G13" s="49">
        <v>42.99</v>
      </c>
      <c r="H13" s="19">
        <f>ABS(D24-F13)</f>
        <v>3</v>
      </c>
      <c r="I13" s="82"/>
      <c r="J13" s="81"/>
      <c r="K13" s="81"/>
      <c r="L13" s="81"/>
      <c r="M13" s="81"/>
    </row>
    <row r="14" spans="1:17" ht="14.25" x14ac:dyDescent="0.2">
      <c r="A14" s="57"/>
      <c r="B14" s="48" t="s">
        <v>54</v>
      </c>
      <c r="C14" s="19">
        <v>336</v>
      </c>
      <c r="D14" s="19">
        <v>34.15</v>
      </c>
      <c r="E14" s="19">
        <f>ABS(D22-C14)</f>
        <v>29</v>
      </c>
      <c r="F14" s="49">
        <v>336</v>
      </c>
      <c r="G14" s="49">
        <v>34.15</v>
      </c>
      <c r="H14" s="19">
        <f>ABS(D22-F14)</f>
        <v>29</v>
      </c>
      <c r="I14" s="82">
        <v>9</v>
      </c>
      <c r="J14" s="79">
        <f>SUM(E14:E16)</f>
        <v>64</v>
      </c>
      <c r="K14" s="79">
        <f t="shared" ref="K14" si="3">SUM(H14:H16)</f>
        <v>62</v>
      </c>
      <c r="L14" s="79">
        <f>J14/D25*100</f>
        <v>6.5040650406504072</v>
      </c>
      <c r="M14" s="79">
        <f>K14/D25*100</f>
        <v>6.3008130081300813</v>
      </c>
    </row>
    <row r="15" spans="1:17" ht="14.25" x14ac:dyDescent="0.2">
      <c r="A15" s="57"/>
      <c r="B15" s="48" t="s">
        <v>56</v>
      </c>
      <c r="C15" s="19">
        <v>225</v>
      </c>
      <c r="D15" s="19">
        <v>22.87</v>
      </c>
      <c r="E15" s="19">
        <f>D23-C15</f>
        <v>32</v>
      </c>
      <c r="F15" s="49">
        <v>226</v>
      </c>
      <c r="G15" s="49">
        <v>22.97</v>
      </c>
      <c r="H15" s="19">
        <f>D23-F15</f>
        <v>31</v>
      </c>
      <c r="I15" s="82"/>
      <c r="J15" s="80"/>
      <c r="K15" s="80"/>
      <c r="L15" s="80"/>
      <c r="M15" s="80"/>
    </row>
    <row r="16" spans="1:17" ht="14.25" x14ac:dyDescent="0.2">
      <c r="A16" s="57"/>
      <c r="B16" s="48" t="s">
        <v>55</v>
      </c>
      <c r="C16" s="19">
        <v>423</v>
      </c>
      <c r="D16" s="19">
        <v>42.99</v>
      </c>
      <c r="E16" s="19">
        <f>ABS(D24-C16)</f>
        <v>3</v>
      </c>
      <c r="F16" s="49">
        <v>422</v>
      </c>
      <c r="G16" s="49">
        <v>42.89</v>
      </c>
      <c r="H16" s="19">
        <f>ABS(D24-F16)</f>
        <v>2</v>
      </c>
      <c r="I16" s="82"/>
      <c r="J16" s="81"/>
      <c r="K16" s="81"/>
      <c r="L16" s="81"/>
      <c r="M16" s="81"/>
    </row>
    <row r="17" spans="1:13" ht="14.25" x14ac:dyDescent="0.2">
      <c r="A17" s="57"/>
      <c r="B17" s="48" t="s">
        <v>54</v>
      </c>
      <c r="C17" s="19">
        <v>288</v>
      </c>
      <c r="D17" s="19">
        <v>29.27</v>
      </c>
      <c r="E17" s="19">
        <f>D22-C17</f>
        <v>19</v>
      </c>
      <c r="F17" s="49">
        <v>276</v>
      </c>
      <c r="G17" s="49">
        <v>28.05</v>
      </c>
      <c r="H17" s="19">
        <f>D22-F17</f>
        <v>31</v>
      </c>
      <c r="I17" s="82">
        <v>10</v>
      </c>
      <c r="J17" s="79">
        <f>SUM(E17:E19)</f>
        <v>38</v>
      </c>
      <c r="K17" s="79">
        <f t="shared" ref="K17" si="4">SUM(H17:H19)</f>
        <v>62</v>
      </c>
      <c r="L17" s="79">
        <f>J17/D25*100</f>
        <v>3.8617886178861789</v>
      </c>
      <c r="M17" s="79">
        <f>K17/D25*100</f>
        <v>6.3008130081300813</v>
      </c>
    </row>
    <row r="18" spans="1:13" ht="14.25" x14ac:dyDescent="0.2">
      <c r="A18" s="57"/>
      <c r="B18" s="48" t="s">
        <v>56</v>
      </c>
      <c r="C18" s="19">
        <v>259</v>
      </c>
      <c r="D18" s="19">
        <v>26.32</v>
      </c>
      <c r="E18" s="19">
        <f>ABS(D23-C18)</f>
        <v>2</v>
      </c>
      <c r="F18" s="49">
        <v>272</v>
      </c>
      <c r="G18" s="49">
        <v>27.64</v>
      </c>
      <c r="H18" s="19">
        <f>ABS(D23-F18)</f>
        <v>15</v>
      </c>
      <c r="I18" s="82"/>
      <c r="J18" s="80"/>
      <c r="K18" s="80"/>
      <c r="L18" s="80"/>
      <c r="M18" s="80"/>
    </row>
    <row r="19" spans="1:13" ht="14.25" x14ac:dyDescent="0.2">
      <c r="A19" s="57"/>
      <c r="B19" s="48" t="s">
        <v>55</v>
      </c>
      <c r="C19" s="19">
        <v>437</v>
      </c>
      <c r="D19" s="19">
        <v>44.41</v>
      </c>
      <c r="E19" s="19">
        <f>ABS(D24-C19)</f>
        <v>17</v>
      </c>
      <c r="F19" s="49">
        <v>436</v>
      </c>
      <c r="G19" s="49">
        <v>44.31</v>
      </c>
      <c r="H19" s="19">
        <f>ABS(D24-F19)</f>
        <v>16</v>
      </c>
      <c r="I19" s="82"/>
      <c r="J19" s="81"/>
      <c r="K19" s="81"/>
      <c r="L19" s="81"/>
      <c r="M19" s="81"/>
    </row>
    <row r="20" spans="1:13" ht="14.25" x14ac:dyDescent="0.2">
      <c r="B20" s="50"/>
      <c r="C20" s="50"/>
      <c r="D20" s="50"/>
      <c r="E20" s="50"/>
      <c r="F20" s="50"/>
      <c r="G20" s="50"/>
      <c r="H20" s="50"/>
      <c r="I20" s="50"/>
      <c r="M20" s="46"/>
    </row>
    <row r="21" spans="1:13" ht="15" x14ac:dyDescent="0.2">
      <c r="B21" s="50"/>
      <c r="C21" s="51" t="s">
        <v>92</v>
      </c>
      <c r="D21" s="51" t="s">
        <v>93</v>
      </c>
      <c r="E21" s="51" t="s">
        <v>94</v>
      </c>
      <c r="F21" s="50"/>
      <c r="G21" s="50"/>
      <c r="H21" s="50"/>
      <c r="I21" s="50"/>
      <c r="M21" s="46"/>
    </row>
    <row r="22" spans="1:13" ht="15" x14ac:dyDescent="0.2">
      <c r="B22" s="50"/>
      <c r="C22" s="51" t="s">
        <v>34</v>
      </c>
      <c r="D22" s="19">
        <v>307</v>
      </c>
      <c r="E22" s="19">
        <v>31.2</v>
      </c>
      <c r="F22" s="50"/>
      <c r="G22" s="50"/>
      <c r="H22" s="50"/>
      <c r="I22" s="50"/>
      <c r="M22" s="46"/>
    </row>
    <row r="23" spans="1:13" ht="15" x14ac:dyDescent="0.2">
      <c r="B23" s="50"/>
      <c r="C23" s="51" t="s">
        <v>33</v>
      </c>
      <c r="D23" s="19">
        <v>257</v>
      </c>
      <c r="E23" s="19">
        <v>26.12</v>
      </c>
      <c r="F23" s="50"/>
      <c r="G23" s="50"/>
      <c r="H23" s="50"/>
      <c r="I23" s="50"/>
      <c r="M23" s="46"/>
    </row>
    <row r="24" spans="1:13" ht="15" x14ac:dyDescent="0.2">
      <c r="B24" s="50"/>
      <c r="C24" s="51" t="s">
        <v>32</v>
      </c>
      <c r="D24" s="19">
        <v>420</v>
      </c>
      <c r="E24" s="19">
        <v>42.68</v>
      </c>
      <c r="F24" s="50"/>
      <c r="G24" s="50"/>
      <c r="H24" s="50"/>
      <c r="I24" s="50"/>
      <c r="M24" s="46"/>
    </row>
    <row r="25" spans="1:13" ht="15" x14ac:dyDescent="0.2">
      <c r="C25" s="51" t="s">
        <v>101</v>
      </c>
      <c r="D25" s="19">
        <f>SUM(D22:D24)</f>
        <v>984</v>
      </c>
      <c r="E25" s="31"/>
      <c r="M25" s="46"/>
    </row>
    <row r="26" spans="1:13" ht="14.25" x14ac:dyDescent="0.2">
      <c r="M26" s="46"/>
    </row>
  </sheetData>
  <mergeCells count="31">
    <mergeCell ref="A2:A19"/>
    <mergeCell ref="J2:J4"/>
    <mergeCell ref="L2:L4"/>
    <mergeCell ref="J5:J7"/>
    <mergeCell ref="L5:L7"/>
    <mergeCell ref="J8:J10"/>
    <mergeCell ref="L8:L10"/>
    <mergeCell ref="J11:J13"/>
    <mergeCell ref="L11:L13"/>
    <mergeCell ref="I2:I4"/>
    <mergeCell ref="I5:I7"/>
    <mergeCell ref="I8:I10"/>
    <mergeCell ref="I11:I13"/>
    <mergeCell ref="I14:I16"/>
    <mergeCell ref="I17:I19"/>
    <mergeCell ref="K2:K4"/>
    <mergeCell ref="K5:K7"/>
    <mergeCell ref="K8:K10"/>
    <mergeCell ref="K11:K13"/>
    <mergeCell ref="K14:K16"/>
    <mergeCell ref="M17:M19"/>
    <mergeCell ref="J14:J16"/>
    <mergeCell ref="L14:L16"/>
    <mergeCell ref="J17:J19"/>
    <mergeCell ref="L17:L19"/>
    <mergeCell ref="K17:K19"/>
    <mergeCell ref="M2:M4"/>
    <mergeCell ref="M5:M7"/>
    <mergeCell ref="M8:M10"/>
    <mergeCell ref="M11:M13"/>
    <mergeCell ref="M14:M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48"/>
  <sheetViews>
    <sheetView workbookViewId="0">
      <selection activeCell="S9" sqref="S9"/>
    </sheetView>
  </sheetViews>
  <sheetFormatPr defaultColWidth="12.5703125" defaultRowHeight="15.75" customHeight="1" x14ac:dyDescent="0.2"/>
  <sheetData>
    <row r="1" spans="1:16" ht="12.75" x14ac:dyDescent="0.2">
      <c r="B1" s="7" t="s">
        <v>9</v>
      </c>
      <c r="G1" s="7" t="s">
        <v>8</v>
      </c>
      <c r="M1" s="7" t="s">
        <v>48</v>
      </c>
    </row>
    <row r="3" spans="1:16" ht="15.75" customHeight="1" x14ac:dyDescent="0.25">
      <c r="A3" s="8" t="s">
        <v>49</v>
      </c>
      <c r="B3" s="8" t="s">
        <v>50</v>
      </c>
      <c r="C3" s="8" t="s">
        <v>51</v>
      </c>
      <c r="D3" s="8" t="s">
        <v>52</v>
      </c>
      <c r="G3" s="9" t="s">
        <v>49</v>
      </c>
      <c r="H3" s="9" t="s">
        <v>50</v>
      </c>
      <c r="I3" s="9" t="s">
        <v>51</v>
      </c>
      <c r="J3" s="9" t="s">
        <v>52</v>
      </c>
      <c r="M3" s="10" t="s">
        <v>49</v>
      </c>
      <c r="N3" s="10" t="s">
        <v>50</v>
      </c>
      <c r="O3" s="10" t="s">
        <v>51</v>
      </c>
      <c r="P3" s="10" t="s">
        <v>52</v>
      </c>
    </row>
    <row r="4" spans="1:16" ht="15.75" customHeight="1" x14ac:dyDescent="0.25">
      <c r="A4" s="83">
        <v>5</v>
      </c>
      <c r="B4" s="11">
        <v>1</v>
      </c>
      <c r="C4" s="11">
        <v>1.0236530960000001</v>
      </c>
      <c r="D4" s="11">
        <v>0.94960375399999997</v>
      </c>
      <c r="G4" s="83">
        <v>5</v>
      </c>
      <c r="H4" s="11">
        <v>1</v>
      </c>
      <c r="I4" s="11">
        <v>0.979167338</v>
      </c>
      <c r="J4" s="11">
        <v>0.88341175400000005</v>
      </c>
      <c r="M4" s="83">
        <v>5</v>
      </c>
      <c r="N4" s="11">
        <v>1</v>
      </c>
      <c r="O4" s="11">
        <v>0.98574375800000003</v>
      </c>
      <c r="P4" s="11">
        <v>0.87839085500000003</v>
      </c>
    </row>
    <row r="5" spans="1:16" ht="15.75" customHeight="1" x14ac:dyDescent="0.25">
      <c r="A5" s="64"/>
      <c r="B5" s="11">
        <v>2</v>
      </c>
      <c r="C5" s="11">
        <v>0.84446319000000003</v>
      </c>
      <c r="D5" s="11">
        <v>0.90934482999999999</v>
      </c>
      <c r="G5" s="64"/>
      <c r="H5" s="11">
        <v>2</v>
      </c>
      <c r="I5" s="11">
        <v>0.81106080400000002</v>
      </c>
      <c r="J5" s="11">
        <v>0.84115501800000003</v>
      </c>
      <c r="M5" s="64"/>
      <c r="N5" s="11">
        <v>2</v>
      </c>
      <c r="O5" s="11">
        <v>0.80749094399999999</v>
      </c>
      <c r="P5" s="11">
        <v>0.83990502199999995</v>
      </c>
    </row>
    <row r="6" spans="1:16" ht="15.75" customHeight="1" x14ac:dyDescent="0.25">
      <c r="A6" s="64"/>
      <c r="B6" s="11">
        <v>3</v>
      </c>
      <c r="C6" s="11">
        <v>0.64513500199999996</v>
      </c>
      <c r="D6" s="11">
        <v>0.90224074399999998</v>
      </c>
      <c r="G6" s="64"/>
      <c r="H6" s="11">
        <v>3</v>
      </c>
      <c r="I6" s="11">
        <v>0.63256526400000002</v>
      </c>
      <c r="J6" s="11">
        <v>0.84173616399999995</v>
      </c>
      <c r="M6" s="64"/>
      <c r="N6" s="11">
        <v>3</v>
      </c>
      <c r="O6" s="11">
        <v>0.61704243400000003</v>
      </c>
      <c r="P6" s="11">
        <v>0.86014435899999997</v>
      </c>
    </row>
    <row r="7" spans="1:16" ht="15.75" customHeight="1" x14ac:dyDescent="0.25">
      <c r="A7" s="64"/>
      <c r="B7" s="11">
        <v>4</v>
      </c>
      <c r="C7" s="11">
        <v>0.42496647199999998</v>
      </c>
      <c r="D7" s="11">
        <v>0.990473936</v>
      </c>
      <c r="G7" s="64"/>
      <c r="H7" s="11">
        <v>4</v>
      </c>
      <c r="I7" s="11">
        <v>0.42690568400000001</v>
      </c>
      <c r="J7" s="11">
        <v>0.94560408299999998</v>
      </c>
      <c r="M7" s="64"/>
      <c r="N7" s="11">
        <v>4</v>
      </c>
      <c r="O7" s="11">
        <v>0.433651962</v>
      </c>
      <c r="P7" s="11">
        <v>1.041572599</v>
      </c>
    </row>
    <row r="8" spans="1:16" ht="15.75" customHeight="1" x14ac:dyDescent="0.25">
      <c r="A8" s="65"/>
      <c r="B8" s="11">
        <v>5</v>
      </c>
      <c r="C8" s="11">
        <v>0.23185301799999999</v>
      </c>
      <c r="D8" s="11">
        <v>1.35932166</v>
      </c>
      <c r="G8" s="65"/>
      <c r="H8" s="11">
        <v>5</v>
      </c>
      <c r="I8" s="11">
        <v>0.24847630400000001</v>
      </c>
      <c r="J8" s="11">
        <v>1.1857572300000001</v>
      </c>
      <c r="M8" s="65"/>
      <c r="N8" s="11">
        <v>5</v>
      </c>
      <c r="O8" s="11">
        <v>0.276309111</v>
      </c>
      <c r="P8" s="11">
        <v>1.1831714339999999</v>
      </c>
    </row>
    <row r="9" spans="1:16" ht="15.75" customHeight="1" x14ac:dyDescent="0.25">
      <c r="A9" s="83">
        <v>6</v>
      </c>
      <c r="B9" s="11">
        <v>1</v>
      </c>
      <c r="C9" s="11">
        <v>1.0244950589999999</v>
      </c>
      <c r="D9" s="11">
        <v>0.95012046400000005</v>
      </c>
      <c r="G9" s="83">
        <v>6</v>
      </c>
      <c r="H9" s="11">
        <v>1</v>
      </c>
      <c r="I9" s="11">
        <v>0.98741444599999995</v>
      </c>
      <c r="J9" s="11">
        <v>0.92102606300000001</v>
      </c>
      <c r="M9" s="83">
        <v>6</v>
      </c>
      <c r="N9" s="11">
        <v>1</v>
      </c>
      <c r="O9" s="11">
        <v>0.97328456900000004</v>
      </c>
      <c r="P9" s="11">
        <v>0.86749679499999999</v>
      </c>
    </row>
    <row r="10" spans="1:16" ht="15.75" customHeight="1" x14ac:dyDescent="0.25">
      <c r="A10" s="64"/>
      <c r="B10" s="11">
        <v>2</v>
      </c>
      <c r="C10" s="11">
        <v>0.84375912799999997</v>
      </c>
      <c r="D10" s="11">
        <v>0.91270291000000003</v>
      </c>
      <c r="G10" s="64"/>
      <c r="H10" s="11">
        <v>2</v>
      </c>
      <c r="I10" s="11">
        <v>0.82014348100000001</v>
      </c>
      <c r="J10" s="11">
        <v>0.88297307000000003</v>
      </c>
      <c r="M10" s="64"/>
      <c r="N10" s="11">
        <v>2</v>
      </c>
      <c r="O10" s="11">
        <v>0.79645977099999998</v>
      </c>
      <c r="P10" s="11">
        <v>0.82732073500000003</v>
      </c>
    </row>
    <row r="11" spans="1:16" ht="15.75" customHeight="1" x14ac:dyDescent="0.25">
      <c r="A11" s="64"/>
      <c r="B11" s="11">
        <v>3</v>
      </c>
      <c r="C11" s="11">
        <v>0.64936198700000003</v>
      </c>
      <c r="D11" s="11">
        <v>0.95881970100000002</v>
      </c>
      <c r="G11" s="64"/>
      <c r="H11" s="11">
        <v>3</v>
      </c>
      <c r="I11" s="11">
        <v>0.64358764899999998</v>
      </c>
      <c r="J11" s="11">
        <v>0.84976238400000004</v>
      </c>
      <c r="M11" s="64"/>
      <c r="N11" s="11">
        <v>3</v>
      </c>
      <c r="O11" s="11">
        <v>0.60455998200000005</v>
      </c>
      <c r="P11" s="11">
        <v>0.87787462999999999</v>
      </c>
    </row>
    <row r="12" spans="1:16" ht="15.75" customHeight="1" x14ac:dyDescent="0.25">
      <c r="A12" s="64"/>
      <c r="B12" s="11">
        <v>4</v>
      </c>
      <c r="C12" s="11">
        <v>0.43508401499999999</v>
      </c>
      <c r="D12" s="11">
        <v>1.1851929779999999</v>
      </c>
      <c r="G12" s="64"/>
      <c r="H12" s="11">
        <v>4</v>
      </c>
      <c r="I12" s="11">
        <v>0.43788627800000002</v>
      </c>
      <c r="J12" s="11">
        <v>0.97206316500000001</v>
      </c>
      <c r="M12" s="64"/>
      <c r="N12" s="11">
        <v>4</v>
      </c>
      <c r="O12" s="11">
        <v>0.42380994999999999</v>
      </c>
      <c r="P12" s="11">
        <v>1.00621366</v>
      </c>
    </row>
    <row r="13" spans="1:16" ht="15.75" customHeight="1" x14ac:dyDescent="0.25">
      <c r="A13" s="64"/>
      <c r="B13" s="11">
        <v>5</v>
      </c>
      <c r="C13" s="11">
        <v>0.24182065999999999</v>
      </c>
      <c r="D13" s="11">
        <v>1.363106962</v>
      </c>
      <c r="G13" s="64"/>
      <c r="H13" s="11">
        <v>5</v>
      </c>
      <c r="I13" s="11">
        <v>0.26066977200000002</v>
      </c>
      <c r="J13" s="11">
        <v>1.1651408640000001</v>
      </c>
      <c r="M13" s="64"/>
      <c r="N13" s="11">
        <v>5</v>
      </c>
      <c r="O13" s="11">
        <v>0.28066702399999999</v>
      </c>
      <c r="P13" s="11">
        <v>1.192358585</v>
      </c>
    </row>
    <row r="14" spans="1:16" ht="15.75" customHeight="1" x14ac:dyDescent="0.25">
      <c r="A14" s="65"/>
      <c r="B14" s="11">
        <v>6</v>
      </c>
      <c r="C14" s="11">
        <v>0.105827623</v>
      </c>
      <c r="D14" s="11">
        <v>1.803935533</v>
      </c>
      <c r="G14" s="65"/>
      <c r="H14" s="11">
        <v>6</v>
      </c>
      <c r="I14" s="11">
        <v>0.14428422699999999</v>
      </c>
      <c r="J14" s="11">
        <v>1.3829534020000001</v>
      </c>
      <c r="M14" s="65"/>
      <c r="N14" s="11">
        <v>6</v>
      </c>
      <c r="O14" s="11">
        <v>0.17578095499999999</v>
      </c>
      <c r="P14" s="11">
        <v>1.271021078</v>
      </c>
    </row>
    <row r="15" spans="1:16" ht="15.75" customHeight="1" x14ac:dyDescent="0.25">
      <c r="A15" s="83">
        <v>7</v>
      </c>
      <c r="B15" s="11">
        <v>1</v>
      </c>
      <c r="C15" s="11">
        <v>1.019179665</v>
      </c>
      <c r="D15" s="11">
        <v>0.94853869099999999</v>
      </c>
      <c r="G15" s="83">
        <v>7</v>
      </c>
      <c r="H15" s="11">
        <v>1</v>
      </c>
      <c r="I15" s="11">
        <v>0.98270822499999999</v>
      </c>
      <c r="J15" s="11">
        <v>0.87743353700000004</v>
      </c>
      <c r="M15" s="83">
        <v>7</v>
      </c>
      <c r="N15" s="11">
        <v>1</v>
      </c>
      <c r="O15" s="11">
        <v>0.99583515700000003</v>
      </c>
      <c r="P15" s="11">
        <v>0.88722776699999994</v>
      </c>
    </row>
    <row r="16" spans="1:16" ht="15.75" customHeight="1" x14ac:dyDescent="0.25">
      <c r="A16" s="64"/>
      <c r="B16" s="11">
        <v>2</v>
      </c>
      <c r="C16" s="11">
        <v>0.83056398799999998</v>
      </c>
      <c r="D16" s="11">
        <v>0.93273544900000005</v>
      </c>
      <c r="G16" s="64"/>
      <c r="H16" s="11">
        <v>2</v>
      </c>
      <c r="I16" s="11">
        <v>0.81736878999999996</v>
      </c>
      <c r="J16" s="11">
        <v>0.85109822599999996</v>
      </c>
      <c r="M16" s="64"/>
      <c r="N16" s="11">
        <v>2</v>
      </c>
      <c r="O16" s="11">
        <v>0.81646062900000005</v>
      </c>
      <c r="P16" s="11">
        <v>0.82334311100000002</v>
      </c>
    </row>
    <row r="17" spans="1:16" ht="15.75" customHeight="1" x14ac:dyDescent="0.25">
      <c r="A17" s="64"/>
      <c r="B17" s="11">
        <v>3</v>
      </c>
      <c r="C17" s="11">
        <v>0.626682089</v>
      </c>
      <c r="D17" s="11">
        <v>0.97545616000000002</v>
      </c>
      <c r="G17" s="64"/>
      <c r="H17" s="11">
        <v>3</v>
      </c>
      <c r="I17" s="11">
        <v>0.63206334799999997</v>
      </c>
      <c r="J17" s="11">
        <v>0.87243764899999998</v>
      </c>
      <c r="M17" s="64"/>
      <c r="N17" s="11">
        <v>3</v>
      </c>
      <c r="O17" s="11">
        <v>0.61791334499999995</v>
      </c>
      <c r="P17" s="11">
        <v>0.85847812099999998</v>
      </c>
    </row>
    <row r="18" spans="1:16" ht="15.75" customHeight="1" x14ac:dyDescent="0.25">
      <c r="A18" s="64"/>
      <c r="B18" s="11">
        <v>4</v>
      </c>
      <c r="C18" s="11">
        <v>0.40913788600000001</v>
      </c>
      <c r="D18" s="11">
        <v>1.1590694850000001</v>
      </c>
      <c r="G18" s="64"/>
      <c r="H18" s="11">
        <v>4</v>
      </c>
      <c r="I18" s="11">
        <v>0.41702618899999999</v>
      </c>
      <c r="J18" s="11">
        <v>1.056222663</v>
      </c>
      <c r="M18" s="64"/>
      <c r="N18" s="11">
        <v>4</v>
      </c>
      <c r="O18" s="11">
        <v>0.41585187200000001</v>
      </c>
      <c r="P18" s="11">
        <v>0.93508280799999999</v>
      </c>
    </row>
    <row r="19" spans="1:16" ht="15.75" customHeight="1" x14ac:dyDescent="0.25">
      <c r="A19" s="64"/>
      <c r="B19" s="11">
        <v>5</v>
      </c>
      <c r="C19" s="11">
        <v>0.21720574000000001</v>
      </c>
      <c r="D19" s="11">
        <v>1.4352182710000001</v>
      </c>
      <c r="G19" s="64"/>
      <c r="H19" s="11">
        <v>5</v>
      </c>
      <c r="I19" s="11">
        <v>0.24907215699999999</v>
      </c>
      <c r="J19" s="11">
        <v>1.359060234</v>
      </c>
      <c r="M19" s="64"/>
      <c r="N19" s="11">
        <v>5</v>
      </c>
      <c r="O19" s="11">
        <v>0.260323794</v>
      </c>
      <c r="P19" s="11">
        <v>1.070834072</v>
      </c>
    </row>
    <row r="20" spans="1:16" ht="15.75" customHeight="1" x14ac:dyDescent="0.25">
      <c r="A20" s="64"/>
      <c r="B20" s="11">
        <v>6</v>
      </c>
      <c r="C20" s="11">
        <v>9.9652107000000004E-2</v>
      </c>
      <c r="D20" s="11">
        <v>1.8557896279999999</v>
      </c>
      <c r="G20" s="64"/>
      <c r="H20" s="11">
        <v>6</v>
      </c>
      <c r="I20" s="11">
        <v>0.14941316099999999</v>
      </c>
      <c r="J20" s="11">
        <v>1.509993428</v>
      </c>
      <c r="M20" s="64"/>
      <c r="N20" s="11">
        <v>6</v>
      </c>
      <c r="O20" s="11">
        <v>0.17908448799999999</v>
      </c>
      <c r="P20" s="11">
        <v>1.3064972690000001</v>
      </c>
    </row>
    <row r="21" spans="1:16" ht="15.75" customHeight="1" x14ac:dyDescent="0.25">
      <c r="A21" s="65"/>
      <c r="B21" s="11">
        <v>7</v>
      </c>
      <c r="C21" s="11">
        <v>3.2634202000000001E-2</v>
      </c>
      <c r="D21" s="11">
        <v>2.2487420660000002</v>
      </c>
      <c r="G21" s="65"/>
      <c r="H21" s="11">
        <v>7</v>
      </c>
      <c r="I21" s="11">
        <v>9.1913841999999996E-2</v>
      </c>
      <c r="J21" s="11">
        <v>1.6422622680000001</v>
      </c>
      <c r="M21" s="65"/>
      <c r="N21" s="11">
        <v>7</v>
      </c>
      <c r="O21" s="11">
        <v>0.114124476</v>
      </c>
      <c r="P21" s="11">
        <v>1.4725438559999999</v>
      </c>
    </row>
    <row r="22" spans="1:16" ht="15.75" customHeight="1" x14ac:dyDescent="0.25">
      <c r="A22" s="83">
        <v>8</v>
      </c>
      <c r="B22" s="11">
        <v>1</v>
      </c>
      <c r="C22" s="11">
        <v>1.0223289739999999</v>
      </c>
      <c r="D22" s="11">
        <v>0.97612301999999995</v>
      </c>
      <c r="G22" s="83">
        <v>8</v>
      </c>
      <c r="H22" s="11">
        <v>1</v>
      </c>
      <c r="I22" s="11">
        <v>0.97911531500000004</v>
      </c>
      <c r="J22" s="11">
        <v>0.89299641799999996</v>
      </c>
      <c r="M22" s="83">
        <v>8</v>
      </c>
      <c r="N22" s="11">
        <v>1</v>
      </c>
      <c r="O22" s="11">
        <v>0.98367711800000002</v>
      </c>
      <c r="P22" s="11">
        <v>0.89697101000000001</v>
      </c>
    </row>
    <row r="23" spans="1:16" ht="15" x14ac:dyDescent="0.25">
      <c r="A23" s="64"/>
      <c r="B23" s="11">
        <v>2</v>
      </c>
      <c r="C23" s="11">
        <v>0.846491624</v>
      </c>
      <c r="D23" s="11">
        <v>0.94210682300000004</v>
      </c>
      <c r="G23" s="64"/>
      <c r="H23" s="11">
        <v>2</v>
      </c>
      <c r="I23" s="11">
        <v>0.80818325800000002</v>
      </c>
      <c r="J23" s="11">
        <v>0.84710124200000003</v>
      </c>
      <c r="M23" s="64"/>
      <c r="N23" s="11">
        <v>2</v>
      </c>
      <c r="O23" s="11">
        <v>0.81027179900000001</v>
      </c>
      <c r="P23" s="11">
        <v>0.82967995100000003</v>
      </c>
    </row>
    <row r="24" spans="1:16" ht="15" x14ac:dyDescent="0.25">
      <c r="A24" s="64"/>
      <c r="B24" s="11">
        <v>3</v>
      </c>
      <c r="C24" s="11">
        <v>0.64989550299999999</v>
      </c>
      <c r="D24" s="11">
        <v>0.978030281</v>
      </c>
      <c r="G24" s="64"/>
      <c r="H24" s="11">
        <v>3</v>
      </c>
      <c r="I24" s="11">
        <v>0.61461623899999995</v>
      </c>
      <c r="J24" s="11">
        <v>0.86631192400000001</v>
      </c>
      <c r="M24" s="64"/>
      <c r="N24" s="11">
        <v>3</v>
      </c>
      <c r="O24" s="11">
        <v>0.60837713699999996</v>
      </c>
      <c r="P24" s="11">
        <v>0.95509923799999996</v>
      </c>
    </row>
    <row r="25" spans="1:16" ht="15" x14ac:dyDescent="0.25">
      <c r="A25" s="64"/>
      <c r="B25" s="11">
        <v>4</v>
      </c>
      <c r="C25" s="11">
        <v>0.42536874000000002</v>
      </c>
      <c r="D25" s="11">
        <v>1.1429387639999999</v>
      </c>
      <c r="G25" s="64"/>
      <c r="H25" s="11">
        <v>4</v>
      </c>
      <c r="I25" s="11">
        <v>0.43030000499999999</v>
      </c>
      <c r="J25" s="11">
        <v>1.0124448859999999</v>
      </c>
      <c r="M25" s="64"/>
      <c r="N25" s="11">
        <v>4</v>
      </c>
      <c r="O25" s="11">
        <v>0.43250680400000002</v>
      </c>
      <c r="P25" s="11">
        <v>1.000385096</v>
      </c>
    </row>
    <row r="26" spans="1:16" ht="15" x14ac:dyDescent="0.25">
      <c r="A26" s="64"/>
      <c r="B26" s="11">
        <v>5</v>
      </c>
      <c r="C26" s="11">
        <v>0.226386695</v>
      </c>
      <c r="D26" s="11">
        <v>1.502645783</v>
      </c>
      <c r="G26" s="64"/>
      <c r="H26" s="11">
        <v>5</v>
      </c>
      <c r="I26" s="11">
        <v>0.234821434</v>
      </c>
      <c r="J26" s="11">
        <v>1.3047265379999999</v>
      </c>
      <c r="M26" s="64"/>
      <c r="N26" s="11">
        <v>5</v>
      </c>
      <c r="O26" s="11">
        <v>0.27930516900000002</v>
      </c>
      <c r="P26" s="11">
        <v>1.114271778</v>
      </c>
    </row>
    <row r="27" spans="1:16" ht="15" x14ac:dyDescent="0.25">
      <c r="A27" s="64"/>
      <c r="B27" s="11">
        <v>6</v>
      </c>
      <c r="C27" s="11">
        <v>9.8079774999999994E-2</v>
      </c>
      <c r="D27" s="11">
        <v>1.636333737</v>
      </c>
      <c r="G27" s="64"/>
      <c r="H27" s="11">
        <v>6</v>
      </c>
      <c r="I27" s="11">
        <v>0.152072389</v>
      </c>
      <c r="J27" s="11">
        <v>1.374203077</v>
      </c>
      <c r="M27" s="64"/>
      <c r="N27" s="11">
        <v>6</v>
      </c>
      <c r="O27" s="11">
        <v>0.17337102600000001</v>
      </c>
      <c r="P27" s="11">
        <v>1.33886036</v>
      </c>
    </row>
    <row r="28" spans="1:16" ht="15" x14ac:dyDescent="0.25">
      <c r="A28" s="64"/>
      <c r="B28" s="11">
        <v>7</v>
      </c>
      <c r="C28" s="11">
        <v>3.5313410000000003E-2</v>
      </c>
      <c r="D28" s="11">
        <v>1.9759261020000001</v>
      </c>
      <c r="G28" s="64"/>
      <c r="H28" s="11">
        <v>7</v>
      </c>
      <c r="I28" s="11">
        <v>9.6410288999999996E-2</v>
      </c>
      <c r="J28" s="11">
        <v>1.5537346089999999</v>
      </c>
      <c r="M28" s="64"/>
      <c r="N28" s="11">
        <v>7</v>
      </c>
      <c r="O28" s="11">
        <v>0.140688066</v>
      </c>
      <c r="P28" s="11">
        <v>1.3930085940000001</v>
      </c>
    </row>
    <row r="29" spans="1:16" ht="15" x14ac:dyDescent="0.25">
      <c r="A29" s="65"/>
      <c r="B29" s="11">
        <v>8</v>
      </c>
      <c r="C29" s="11">
        <v>1.1356371000000001E-2</v>
      </c>
      <c r="D29" s="11">
        <v>2.2521198330000001</v>
      </c>
      <c r="G29" s="65"/>
      <c r="H29" s="11">
        <v>8</v>
      </c>
      <c r="I29" s="11">
        <v>6.6728451999999994E-2</v>
      </c>
      <c r="J29" s="11">
        <v>1.9149209789999999</v>
      </c>
      <c r="M29" s="65"/>
      <c r="N29" s="11">
        <v>8</v>
      </c>
      <c r="O29" s="11">
        <v>0.103291442</v>
      </c>
      <c r="P29" s="11">
        <v>1.52352606</v>
      </c>
    </row>
    <row r="30" spans="1:16" ht="15" x14ac:dyDescent="0.25">
      <c r="A30" s="83">
        <v>9</v>
      </c>
      <c r="B30" s="11">
        <v>1</v>
      </c>
      <c r="C30" s="11">
        <v>1.0207320280000001</v>
      </c>
      <c r="D30" s="11">
        <v>0.95200416899999996</v>
      </c>
      <c r="G30" s="83">
        <v>9</v>
      </c>
      <c r="H30" s="11">
        <v>1</v>
      </c>
      <c r="I30" s="11">
        <v>0.98883644199999998</v>
      </c>
      <c r="J30" s="11">
        <v>0.911162951</v>
      </c>
      <c r="M30" s="83">
        <v>9</v>
      </c>
      <c r="N30" s="11">
        <v>1</v>
      </c>
      <c r="O30" s="11">
        <v>0.99293746400000005</v>
      </c>
      <c r="P30" s="11">
        <v>0.90351130999999996</v>
      </c>
    </row>
    <row r="31" spans="1:16" ht="15" x14ac:dyDescent="0.25">
      <c r="A31" s="64"/>
      <c r="B31" s="11">
        <v>2</v>
      </c>
      <c r="C31" s="11">
        <v>0.84646528899999995</v>
      </c>
      <c r="D31" s="11">
        <v>0.92308003000000005</v>
      </c>
      <c r="G31" s="64"/>
      <c r="H31" s="11">
        <v>2</v>
      </c>
      <c r="I31" s="11">
        <v>0.81699120300000005</v>
      </c>
      <c r="J31" s="11">
        <v>0.85564754200000004</v>
      </c>
      <c r="M31" s="64"/>
      <c r="N31" s="11">
        <v>2</v>
      </c>
      <c r="O31" s="11">
        <v>0.804370048</v>
      </c>
      <c r="P31" s="11">
        <v>0.81983138799999999</v>
      </c>
    </row>
    <row r="32" spans="1:16" ht="15" x14ac:dyDescent="0.25">
      <c r="A32" s="64"/>
      <c r="B32" s="11">
        <v>3</v>
      </c>
      <c r="C32" s="11">
        <v>0.64537412599999999</v>
      </c>
      <c r="D32" s="11">
        <v>0.97611975299999998</v>
      </c>
      <c r="G32" s="64"/>
      <c r="H32" s="11">
        <v>3</v>
      </c>
      <c r="I32" s="11">
        <v>0.63750723099999995</v>
      </c>
      <c r="J32" s="11">
        <v>0.86535247599999998</v>
      </c>
      <c r="M32" s="64"/>
      <c r="N32" s="11">
        <v>3</v>
      </c>
      <c r="O32" s="11">
        <v>0.60344218699999996</v>
      </c>
      <c r="P32" s="11">
        <v>0.84392778999999996</v>
      </c>
    </row>
    <row r="33" spans="1:16" ht="15" x14ac:dyDescent="0.25">
      <c r="A33" s="64"/>
      <c r="B33" s="11">
        <v>4</v>
      </c>
      <c r="C33" s="11">
        <v>0.42249874900000001</v>
      </c>
      <c r="D33" s="11">
        <v>1.1878864490000001</v>
      </c>
      <c r="G33" s="64"/>
      <c r="H33" s="11">
        <v>4</v>
      </c>
      <c r="I33" s="11">
        <v>0.45153918199999998</v>
      </c>
      <c r="J33" s="11">
        <v>0.916710425</v>
      </c>
      <c r="M33" s="64"/>
      <c r="N33" s="11">
        <v>4</v>
      </c>
      <c r="O33" s="11">
        <v>0.40099961499999998</v>
      </c>
      <c r="P33" s="11">
        <v>0.99481481699999996</v>
      </c>
    </row>
    <row r="34" spans="1:16" ht="15" x14ac:dyDescent="0.25">
      <c r="A34" s="64"/>
      <c r="B34" s="11">
        <v>5</v>
      </c>
      <c r="C34" s="11">
        <v>0.22224360300000001</v>
      </c>
      <c r="D34" s="11">
        <v>1.3882792500000001</v>
      </c>
      <c r="G34" s="64"/>
      <c r="H34" s="11">
        <v>5</v>
      </c>
      <c r="I34" s="11">
        <v>0.262100571</v>
      </c>
      <c r="J34" s="11">
        <v>1.2185500490000001</v>
      </c>
      <c r="M34" s="64"/>
      <c r="N34" s="11">
        <v>5</v>
      </c>
      <c r="O34" s="11">
        <v>0.25414361600000002</v>
      </c>
      <c r="P34" s="11">
        <v>1.1745636610000001</v>
      </c>
    </row>
    <row r="35" spans="1:16" ht="15" x14ac:dyDescent="0.25">
      <c r="A35" s="64"/>
      <c r="B35" s="11">
        <v>6</v>
      </c>
      <c r="C35" s="11">
        <v>9.3906514999999996E-2</v>
      </c>
      <c r="D35" s="11">
        <v>1.599727983</v>
      </c>
      <c r="G35" s="64"/>
      <c r="H35" s="11">
        <v>6</v>
      </c>
      <c r="I35" s="11">
        <v>0.164364866</v>
      </c>
      <c r="J35" s="11">
        <v>1.4942346790000001</v>
      </c>
      <c r="M35" s="64"/>
      <c r="N35" s="11">
        <v>6</v>
      </c>
      <c r="O35" s="11">
        <v>0.16164077199999999</v>
      </c>
      <c r="P35" s="11">
        <v>1.3484640020000001</v>
      </c>
    </row>
    <row r="36" spans="1:16" ht="15" x14ac:dyDescent="0.25">
      <c r="A36" s="64"/>
      <c r="B36" s="11">
        <v>7</v>
      </c>
      <c r="C36" s="11">
        <v>3.7969879999999998E-2</v>
      </c>
      <c r="D36" s="11">
        <v>2.0328488349999998</v>
      </c>
      <c r="G36" s="64"/>
      <c r="H36" s="11">
        <v>7</v>
      </c>
      <c r="I36" s="11">
        <v>0.12070478599999999</v>
      </c>
      <c r="J36" s="11">
        <v>1.4824748590000001</v>
      </c>
      <c r="M36" s="64"/>
      <c r="N36" s="11">
        <v>7</v>
      </c>
      <c r="O36" s="11">
        <v>0.114844817</v>
      </c>
      <c r="P36" s="11">
        <v>1.4032640430000001</v>
      </c>
    </row>
    <row r="37" spans="1:16" ht="15" x14ac:dyDescent="0.25">
      <c r="A37" s="64"/>
      <c r="B37" s="11">
        <v>8</v>
      </c>
      <c r="C37" s="11">
        <v>1.2241778E-2</v>
      </c>
      <c r="D37" s="11">
        <v>2.3387596319999999</v>
      </c>
      <c r="G37" s="64"/>
      <c r="H37" s="11">
        <v>8</v>
      </c>
      <c r="I37" s="11">
        <v>9.1241574000000006E-2</v>
      </c>
      <c r="J37" s="11">
        <v>1.6039370749999999</v>
      </c>
      <c r="M37" s="64"/>
      <c r="N37" s="11">
        <v>8</v>
      </c>
      <c r="O37" s="11">
        <v>7.8283310999999994E-2</v>
      </c>
      <c r="P37" s="11">
        <v>1.5467374190000001</v>
      </c>
    </row>
    <row r="38" spans="1:16" ht="15" x14ac:dyDescent="0.25">
      <c r="A38" s="65"/>
      <c r="B38" s="11">
        <v>9</v>
      </c>
      <c r="C38" s="11">
        <v>6.1463430000000003E-3</v>
      </c>
      <c r="D38" s="11">
        <v>2.4693707800000002</v>
      </c>
      <c r="G38" s="65"/>
      <c r="H38" s="11">
        <v>9</v>
      </c>
      <c r="I38" s="11">
        <v>7.1311380999999993E-2</v>
      </c>
      <c r="J38" s="11">
        <v>1.733020674</v>
      </c>
      <c r="M38" s="65"/>
      <c r="N38" s="11">
        <v>9</v>
      </c>
      <c r="O38" s="11">
        <v>7.6742411999999996E-2</v>
      </c>
      <c r="P38" s="11">
        <v>1.637760509</v>
      </c>
    </row>
    <row r="39" spans="1:16" ht="15" x14ac:dyDescent="0.25">
      <c r="A39" s="83">
        <v>10</v>
      </c>
      <c r="B39" s="11">
        <v>1</v>
      </c>
      <c r="C39" s="11">
        <v>1.0213667019999999</v>
      </c>
      <c r="D39" s="11">
        <v>0.979410487</v>
      </c>
      <c r="G39" s="83">
        <v>10</v>
      </c>
      <c r="H39" s="11">
        <v>1</v>
      </c>
      <c r="I39" s="11">
        <v>0.99075101499999996</v>
      </c>
      <c r="J39" s="11">
        <v>0.91821500899999997</v>
      </c>
      <c r="M39" s="83">
        <v>10</v>
      </c>
      <c r="N39" s="11">
        <v>1</v>
      </c>
      <c r="O39" s="11">
        <v>0.98191776200000003</v>
      </c>
      <c r="P39" s="11">
        <v>0.89384190399999996</v>
      </c>
    </row>
    <row r="40" spans="1:16" ht="15" x14ac:dyDescent="0.25">
      <c r="A40" s="64"/>
      <c r="B40" s="11">
        <v>2</v>
      </c>
      <c r="C40" s="11">
        <v>0.83757276700000005</v>
      </c>
      <c r="D40" s="11">
        <v>0.90790419600000005</v>
      </c>
      <c r="G40" s="64"/>
      <c r="H40" s="11">
        <v>2</v>
      </c>
      <c r="I40" s="11">
        <v>0.821079848</v>
      </c>
      <c r="J40" s="11">
        <v>0.84394605099999997</v>
      </c>
      <c r="M40" s="64"/>
      <c r="N40" s="11">
        <v>2</v>
      </c>
      <c r="O40" s="11">
        <v>0.80799915</v>
      </c>
      <c r="P40" s="11">
        <v>0.86621475100000001</v>
      </c>
    </row>
    <row r="41" spans="1:16" ht="15" x14ac:dyDescent="0.25">
      <c r="A41" s="64"/>
      <c r="B41" s="11">
        <v>3</v>
      </c>
      <c r="C41" s="11">
        <v>0.64186754700000004</v>
      </c>
      <c r="D41" s="11">
        <v>0.93957525099999994</v>
      </c>
      <c r="G41" s="64"/>
      <c r="H41" s="11">
        <v>3</v>
      </c>
      <c r="I41" s="11">
        <v>0.65032770200000001</v>
      </c>
      <c r="J41" s="11">
        <v>0.81986051699999996</v>
      </c>
      <c r="M41" s="64"/>
      <c r="N41" s="11">
        <v>3</v>
      </c>
      <c r="O41" s="11">
        <v>0.61121002800000002</v>
      </c>
      <c r="P41" s="11">
        <v>0.87671522599999996</v>
      </c>
    </row>
    <row r="42" spans="1:16" ht="15" x14ac:dyDescent="0.25">
      <c r="A42" s="64"/>
      <c r="B42" s="11">
        <v>4</v>
      </c>
      <c r="C42" s="11">
        <v>0.42598623099999999</v>
      </c>
      <c r="D42" s="11">
        <v>1.1265940889999999</v>
      </c>
      <c r="G42" s="64"/>
      <c r="H42" s="11">
        <v>4</v>
      </c>
      <c r="I42" s="11">
        <v>0.45120763200000003</v>
      </c>
      <c r="J42" s="11">
        <v>0.96305352600000005</v>
      </c>
      <c r="M42" s="64"/>
      <c r="N42" s="11">
        <v>4</v>
      </c>
      <c r="O42" s="11">
        <v>0.43321469600000001</v>
      </c>
      <c r="P42" s="11">
        <v>0.94350225899999995</v>
      </c>
    </row>
    <row r="43" spans="1:16" ht="15" x14ac:dyDescent="0.25">
      <c r="A43" s="64"/>
      <c r="B43" s="11">
        <v>5</v>
      </c>
      <c r="C43" s="11">
        <v>0.223690258</v>
      </c>
      <c r="D43" s="11">
        <v>1.434092739</v>
      </c>
      <c r="G43" s="64"/>
      <c r="H43" s="11">
        <v>5</v>
      </c>
      <c r="I43" s="11">
        <v>0.27577426300000002</v>
      </c>
      <c r="J43" s="11">
        <v>1.1879080049999999</v>
      </c>
      <c r="M43" s="64"/>
      <c r="N43" s="11">
        <v>5</v>
      </c>
      <c r="O43" s="11">
        <v>0.27494806100000002</v>
      </c>
      <c r="P43" s="11">
        <v>1.205400271</v>
      </c>
    </row>
    <row r="44" spans="1:16" ht="15" x14ac:dyDescent="0.25">
      <c r="A44" s="64"/>
      <c r="B44" s="11">
        <v>6</v>
      </c>
      <c r="C44" s="11">
        <v>9.4847424E-2</v>
      </c>
      <c r="D44" s="11">
        <v>1.79259233</v>
      </c>
      <c r="G44" s="64"/>
      <c r="H44" s="11">
        <v>6</v>
      </c>
      <c r="I44" s="11">
        <v>0.16858694099999999</v>
      </c>
      <c r="J44" s="11">
        <v>1.3405217460000001</v>
      </c>
      <c r="M44" s="64"/>
      <c r="N44" s="11">
        <v>6</v>
      </c>
      <c r="O44" s="11">
        <v>0.17533194399999999</v>
      </c>
      <c r="P44" s="11">
        <v>1.367069383</v>
      </c>
    </row>
    <row r="45" spans="1:16" ht="15" x14ac:dyDescent="0.25">
      <c r="A45" s="64"/>
      <c r="B45" s="11">
        <v>7</v>
      </c>
      <c r="C45" s="11">
        <v>3.5709203000000002E-2</v>
      </c>
      <c r="D45" s="11">
        <v>2.0572458839999999</v>
      </c>
      <c r="G45" s="64"/>
      <c r="H45" s="11">
        <v>7</v>
      </c>
      <c r="I45" s="11">
        <v>0.108128954</v>
      </c>
      <c r="J45" s="11">
        <v>1.495102328</v>
      </c>
      <c r="M45" s="64"/>
      <c r="N45" s="11">
        <v>7</v>
      </c>
      <c r="O45" s="11">
        <v>0.12223384599999999</v>
      </c>
      <c r="P45" s="11">
        <v>1.4821708650000001</v>
      </c>
    </row>
    <row r="46" spans="1:16" ht="15" x14ac:dyDescent="0.25">
      <c r="A46" s="64"/>
      <c r="B46" s="11">
        <v>8</v>
      </c>
      <c r="C46" s="11">
        <v>1.2355167E-2</v>
      </c>
      <c r="D46" s="11">
        <v>2.2375015380000001</v>
      </c>
      <c r="G46" s="64"/>
      <c r="H46" s="11">
        <v>8</v>
      </c>
      <c r="I46" s="11">
        <v>8.4310857000000003E-2</v>
      </c>
      <c r="J46" s="11">
        <v>1.7356710740000001</v>
      </c>
      <c r="M46" s="64"/>
      <c r="N46" s="11">
        <v>8</v>
      </c>
      <c r="O46" s="11">
        <v>9.7194367000000004E-2</v>
      </c>
      <c r="P46" s="11">
        <v>1.471417454</v>
      </c>
    </row>
    <row r="47" spans="1:16" ht="15" x14ac:dyDescent="0.25">
      <c r="A47" s="64"/>
      <c r="B47" s="11">
        <v>9</v>
      </c>
      <c r="C47" s="11">
        <v>6.3575039999999999E-3</v>
      </c>
      <c r="D47" s="11">
        <v>2.488178623</v>
      </c>
      <c r="G47" s="64"/>
      <c r="H47" s="11">
        <v>9</v>
      </c>
      <c r="I47" s="11">
        <v>6.1029720000000003E-2</v>
      </c>
      <c r="J47" s="11">
        <v>2.0277310329999998</v>
      </c>
      <c r="M47" s="64"/>
      <c r="N47" s="11">
        <v>9</v>
      </c>
      <c r="O47" s="11">
        <v>6.6180863000000006E-2</v>
      </c>
      <c r="P47" s="11">
        <v>1.6278998920000001</v>
      </c>
    </row>
    <row r="48" spans="1:16" ht="15" x14ac:dyDescent="0.25">
      <c r="A48" s="65"/>
      <c r="B48" s="11">
        <v>10</v>
      </c>
      <c r="C48" s="11">
        <v>3.8841359999999998E-3</v>
      </c>
      <c r="D48" s="11">
        <v>2.655038088</v>
      </c>
      <c r="G48" s="65"/>
      <c r="H48" s="11">
        <v>10</v>
      </c>
      <c r="I48" s="11">
        <v>5.5448539999999998E-2</v>
      </c>
      <c r="J48" s="11">
        <v>1.839257412</v>
      </c>
      <c r="M48" s="65"/>
      <c r="N48" s="11">
        <v>10</v>
      </c>
      <c r="O48" s="11">
        <v>6.4537035000000006E-2</v>
      </c>
      <c r="P48" s="11">
        <v>1.6773478180000001</v>
      </c>
    </row>
  </sheetData>
  <mergeCells count="18">
    <mergeCell ref="M4:M8"/>
    <mergeCell ref="A9:A14"/>
    <mergeCell ref="G9:G14"/>
    <mergeCell ref="A15:A21"/>
    <mergeCell ref="M22:M29"/>
    <mergeCell ref="M9:M14"/>
    <mergeCell ref="M15:M21"/>
    <mergeCell ref="M30:M38"/>
    <mergeCell ref="M39:M48"/>
    <mergeCell ref="G15:G21"/>
    <mergeCell ref="G22:G29"/>
    <mergeCell ref="G30:G38"/>
    <mergeCell ref="G39:G48"/>
    <mergeCell ref="A22:A29"/>
    <mergeCell ref="A30:A38"/>
    <mergeCell ref="A39:A48"/>
    <mergeCell ref="A4:A8"/>
    <mergeCell ref="G4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Sentiment distribution Baseline</vt:lpstr>
      <vt:lpstr>Performance Baseline</vt:lpstr>
      <vt:lpstr>Sentiment distribution ensemble</vt:lpstr>
      <vt:lpstr>Performance ensemble</vt:lpstr>
      <vt:lpstr>Sentiment distibution optimized</vt:lpstr>
      <vt:lpstr>Performance optimized ensembled</vt:lpstr>
      <vt:lpstr>ablation study performance</vt:lpstr>
      <vt:lpstr>Ablation study sentiment</vt:lpstr>
      <vt:lpstr>Train loss &amp; Validation 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MUBIN BIN SHUKRI A20EC0193</cp:lastModifiedBy>
  <dcterms:modified xsi:type="dcterms:W3CDTF">2026-08-13T03:07:24Z</dcterms:modified>
</cp:coreProperties>
</file>